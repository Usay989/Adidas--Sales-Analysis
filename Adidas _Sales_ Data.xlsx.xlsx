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6.xml" ContentType="application/vnd.ms-excel.slicer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hidePivotFieldList="1"/>
  <xr:revisionPtr revIDLastSave="0" documentId="8_{E375CD30-7694-4840-839E-FA938069A30A}" xr6:coauthVersionLast="47" xr6:coauthVersionMax="47" xr10:uidLastSave="{00000000-0000-0000-0000-000000000000}"/>
  <bookViews>
    <workbookView xWindow="0" yWindow="0" windowWidth="0" windowHeight="0" firstSheet="5" activeTab="5" xr2:uid="{00000000-000D-0000-FFFF-FFFF00000000}"/>
  </bookViews>
  <sheets>
    <sheet name="Sales by Region" sheetId="2" r:id="rId1"/>
    <sheet name="Product sales" sheetId="3" r:id="rId2"/>
    <sheet name="Total profit of retialers" sheetId="5" r:id="rId3"/>
    <sheet name="Units Sold by Region" sheetId="6" r:id="rId4"/>
    <sheet name="Average Margin" sheetId="7" r:id="rId5"/>
    <sheet name="Dashboard" sheetId="4" r:id="rId6"/>
    <sheet name="Adidas Sales Sample" sheetId="1" r:id="rId7"/>
  </sheets>
  <definedNames>
    <definedName name="_xlnm._FilterDatabase" localSheetId="6" hidden="1">'Adidas Sales Sample'!$A$1:$M$1</definedName>
    <definedName name="Slicer_Operating_Margin">#N/A</definedName>
    <definedName name="Slicer_Operating_Profit1">#N/A</definedName>
    <definedName name="Slicer_Product">#N/A</definedName>
    <definedName name="Slicer_Product1">#N/A</definedName>
    <definedName name="Slicer_Region">#N/A</definedName>
    <definedName name="Slicer_Region1">#N/A</definedName>
    <definedName name="Slicer_Retailer">#N/A</definedName>
    <definedName name="Slicer_Total_Sales">#N/A</definedName>
    <definedName name="Slicer_Units_Sold">#N/A</definedName>
  </definedNames>
  <calcPr calcId="191028"/>
  <pivotCaches>
    <pivotCache cacheId="170" r:id="rId8"/>
    <pivotCache cacheId="171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  <x14:slicerCache r:id="rId17"/>
        <x14:slicerCache r:id="rId1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4" l="1"/>
  <c r="D20" i="4"/>
  <c r="C20" i="4"/>
</calcChain>
</file>

<file path=xl/sharedStrings.xml><?xml version="1.0" encoding="utf-8"?>
<sst xmlns="http://schemas.openxmlformats.org/spreadsheetml/2006/main" count="3068" uniqueCount="145">
  <si>
    <t>Region</t>
  </si>
  <si>
    <t>Sum of Total Sales</t>
  </si>
  <si>
    <t>Midwest</t>
  </si>
  <si>
    <t>Northeast</t>
  </si>
  <si>
    <t>South</t>
  </si>
  <si>
    <t>Southeast</t>
  </si>
  <si>
    <t>West</t>
  </si>
  <si>
    <t>Grand Total</t>
  </si>
  <si>
    <t>Product</t>
  </si>
  <si>
    <t>Men's Apparel</t>
  </si>
  <si>
    <t>Men's Athletic Footwear</t>
  </si>
  <si>
    <t>Men's Street Footwear</t>
  </si>
  <si>
    <t>Women's Apparel</t>
  </si>
  <si>
    <t>Women's Athletic Footwear</t>
  </si>
  <si>
    <t>Women's Street Footwear</t>
  </si>
  <si>
    <t>Retailer</t>
  </si>
  <si>
    <t>Sum of Operating Profit</t>
  </si>
  <si>
    <t>Amazon</t>
  </si>
  <si>
    <t>Foot Locker</t>
  </si>
  <si>
    <t>Kohl's</t>
  </si>
  <si>
    <t>Sports Direct</t>
  </si>
  <si>
    <t>Walmart</t>
  </si>
  <si>
    <t>West Gear</t>
  </si>
  <si>
    <t>Sum of Units Sold</t>
  </si>
  <si>
    <t>Operating Margin</t>
  </si>
  <si>
    <t>Adidas Sales  Dashboard</t>
  </si>
  <si>
    <t>Total Sales</t>
  </si>
  <si>
    <t>Total Profit</t>
  </si>
  <si>
    <t>Units Sold</t>
  </si>
  <si>
    <t>Average Margin</t>
  </si>
  <si>
    <t>Key Insights</t>
  </si>
  <si>
    <t>• West region generated highest sales</t>
  </si>
  <si>
    <t>• West Gear had highest profit</t>
  </si>
  <si>
    <t>• Average margin reached 42.4%</t>
  </si>
  <si>
    <t>Retailer ID</t>
  </si>
  <si>
    <t>Invoice Date</t>
  </si>
  <si>
    <t>State</t>
  </si>
  <si>
    <t>City</t>
  </si>
  <si>
    <t>Price per Unit</t>
  </si>
  <si>
    <t>Operating Profit</t>
  </si>
  <si>
    <t>Sales Method</t>
  </si>
  <si>
    <t>Utah</t>
  </si>
  <si>
    <t>Salt Lake City</t>
  </si>
  <si>
    <t>Outlet</t>
  </si>
  <si>
    <t>Kentucky</t>
  </si>
  <si>
    <t>Louisville</t>
  </si>
  <si>
    <t>Online</t>
  </si>
  <si>
    <t>Florida</t>
  </si>
  <si>
    <t>Orlando</t>
  </si>
  <si>
    <t>Vermont</t>
  </si>
  <si>
    <t>Burlington</t>
  </si>
  <si>
    <t>South Dakota</t>
  </si>
  <si>
    <t>Sioux Falls</t>
  </si>
  <si>
    <t>Louisiana</t>
  </si>
  <si>
    <t>New Orleans</t>
  </si>
  <si>
    <t>Nebraska</t>
  </si>
  <si>
    <t>Omaha</t>
  </si>
  <si>
    <t>Georgia</t>
  </si>
  <si>
    <t>Atlanta</t>
  </si>
  <si>
    <t>Virginia</t>
  </si>
  <si>
    <t>Richmond</t>
  </si>
  <si>
    <t>Alabama</t>
  </si>
  <si>
    <t>Birmingham</t>
  </si>
  <si>
    <t>New York</t>
  </si>
  <si>
    <t>Texas</t>
  </si>
  <si>
    <t>Dallas</t>
  </si>
  <si>
    <t>Kansas</t>
  </si>
  <si>
    <t>Wichita</t>
  </si>
  <si>
    <t>North Dakota</t>
  </si>
  <si>
    <t>Fargo</t>
  </si>
  <si>
    <t>Oklahoma</t>
  </si>
  <si>
    <t>Oklahoma City</t>
  </si>
  <si>
    <t>Michigan</t>
  </si>
  <si>
    <t>Detroit</t>
  </si>
  <si>
    <t>In-store</t>
  </si>
  <si>
    <t>Rhode Island</t>
  </si>
  <si>
    <t>Providence</t>
  </si>
  <si>
    <t>Albany</t>
  </si>
  <si>
    <t>Houston</t>
  </si>
  <si>
    <t>Arkansas</t>
  </si>
  <si>
    <t>Little Rock</t>
  </si>
  <si>
    <t>Pennsylvania</t>
  </si>
  <si>
    <t>Philadelphia</t>
  </si>
  <si>
    <t>New Mexico</t>
  </si>
  <si>
    <t>Albuquerque</t>
  </si>
  <si>
    <t>New Jersey</t>
  </si>
  <si>
    <t>Newark</t>
  </si>
  <si>
    <t>Nevada</t>
  </si>
  <si>
    <t>Las Vegas</t>
  </si>
  <si>
    <t>North Carolina</t>
  </si>
  <si>
    <t>Charlotte</t>
  </si>
  <si>
    <t>Missouri</t>
  </si>
  <si>
    <t>St. Louis</t>
  </si>
  <si>
    <t>Oregon</t>
  </si>
  <si>
    <t>Portland</t>
  </si>
  <si>
    <t>Maine</t>
  </si>
  <si>
    <t>Minnesota</t>
  </si>
  <si>
    <t>Minneapolis</t>
  </si>
  <si>
    <t>New Hampshire</t>
  </si>
  <si>
    <t>Manchester</t>
  </si>
  <si>
    <t>Massachusetts</t>
  </si>
  <si>
    <t>Boston</t>
  </si>
  <si>
    <t>Indiana</t>
  </si>
  <si>
    <t>Indianapolis</t>
  </si>
  <si>
    <t>Tennessee</t>
  </si>
  <si>
    <t>Knoxville</t>
  </si>
  <si>
    <t>Wisconsin</t>
  </si>
  <si>
    <t>Milwaukee</t>
  </si>
  <si>
    <t>Alaska</t>
  </si>
  <si>
    <t>Anchorage</t>
  </si>
  <si>
    <t>Maryland</t>
  </si>
  <si>
    <t>Baltimore</t>
  </si>
  <si>
    <t>West Virginia</t>
  </si>
  <si>
    <t>Charleston</t>
  </si>
  <si>
    <t>Colorado</t>
  </si>
  <si>
    <t>Denver</t>
  </si>
  <si>
    <t>Mississippi</t>
  </si>
  <si>
    <t>Jackson</t>
  </si>
  <si>
    <t>Washington</t>
  </si>
  <si>
    <t>Seattle</t>
  </si>
  <si>
    <t>Idaho</t>
  </si>
  <si>
    <t>Boise</t>
  </si>
  <si>
    <t>South Carolina</t>
  </si>
  <si>
    <t>Ohio</t>
  </si>
  <si>
    <t>Columbus</t>
  </si>
  <si>
    <t>California</t>
  </si>
  <si>
    <t>San Francisco</t>
  </si>
  <si>
    <t>Hawaii</t>
  </si>
  <si>
    <t>Honolulu</t>
  </si>
  <si>
    <t>Delaware</t>
  </si>
  <si>
    <t>Wilmington</t>
  </si>
  <si>
    <t>Connecticut</t>
  </si>
  <si>
    <t>Hartford</t>
  </si>
  <si>
    <t>Los Angeles</t>
  </si>
  <si>
    <t>Arizona</t>
  </si>
  <si>
    <t>Phoenix</t>
  </si>
  <si>
    <t>Montana</t>
  </si>
  <si>
    <t>Billings</t>
  </si>
  <si>
    <t>Iowa</t>
  </si>
  <si>
    <t>Des Moines</t>
  </si>
  <si>
    <t>Miami</t>
  </si>
  <si>
    <t>Illinois</t>
  </si>
  <si>
    <t>Chicago</t>
  </si>
  <si>
    <t>Wyoming</t>
  </si>
  <si>
    <t>Cheyenne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</si>
</sst>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\$#,##0.00"/>
    <numFmt numFmtId="166" formatCode="0.0%"/>
    <numFmt numFmtId="167" formatCode="&quot;$&quot;#,##0.00"/>
    <numFmt numFmtId="168" formatCode="&quot;$&quot;#,##0"/>
  </numFmts>
  <fonts count="10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20"/>
      <color theme="0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FFFFFF"/>
      <name val="Calibri"/>
      <scheme val="minor"/>
    </font>
    <font>
      <b/>
      <sz val="20"/>
      <color theme="0"/>
      <name val="Calibri"/>
      <family val="2"/>
      <scheme val="minor"/>
    </font>
    <font>
      <b/>
      <sz val="36"/>
      <color rgb="FFFFFFFF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EEF2FF"/>
        <bgColor rgb="FFEEF2FF"/>
      </patternFill>
    </fill>
    <fill>
      <patternFill patternType="solid">
        <fgColor rgb="FFFFFFFF"/>
        <bgColor rgb="FFFFFFFF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167" fontId="1" fillId="2" borderId="4" xfId="0" applyNumberFormat="1" applyFont="1" applyFill="1" applyBorder="1" applyAlignment="1">
      <alignment horizontal="center" vertical="center" wrapText="1"/>
    </xf>
    <xf numFmtId="167" fontId="1" fillId="2" borderId="5" xfId="0" applyNumberFormat="1" applyFont="1" applyFill="1" applyBorder="1" applyAlignment="1">
      <alignment horizontal="center" vertical="center" wrapText="1"/>
    </xf>
    <xf numFmtId="167" fontId="1" fillId="2" borderId="6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7" fontId="2" fillId="3" borderId="2" xfId="0" applyNumberFormat="1" applyFont="1" applyFill="1" applyBorder="1" applyAlignment="1">
      <alignment horizontal="left"/>
    </xf>
    <xf numFmtId="167" fontId="2" fillId="3" borderId="1" xfId="0" applyNumberFormat="1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left"/>
    </xf>
    <xf numFmtId="167" fontId="2" fillId="3" borderId="3" xfId="0" applyNumberFormat="1" applyFont="1" applyFill="1" applyBorder="1" applyAlignment="1">
      <alignment horizontal="center"/>
    </xf>
    <xf numFmtId="167" fontId="2" fillId="4" borderId="2" xfId="0" applyNumberFormat="1" applyFont="1" applyFill="1" applyBorder="1" applyAlignment="1">
      <alignment horizontal="left"/>
    </xf>
    <xf numFmtId="167" fontId="2" fillId="4" borderId="1" xfId="0" applyNumberFormat="1" applyFont="1" applyFill="1" applyBorder="1" applyAlignment="1">
      <alignment horizontal="center"/>
    </xf>
    <xf numFmtId="167" fontId="2" fillId="4" borderId="1" xfId="0" applyNumberFormat="1" applyFont="1" applyFill="1" applyBorder="1" applyAlignment="1">
      <alignment horizontal="left"/>
    </xf>
    <xf numFmtId="167" fontId="2" fillId="4" borderId="3" xfId="0" applyNumberFormat="1" applyFont="1" applyFill="1" applyBorder="1" applyAlignment="1">
      <alignment horizontal="center"/>
    </xf>
    <xf numFmtId="167" fontId="2" fillId="4" borderId="7" xfId="0" applyNumberFormat="1" applyFont="1" applyFill="1" applyBorder="1" applyAlignment="1">
      <alignment horizontal="left"/>
    </xf>
    <xf numFmtId="167" fontId="2" fillId="4" borderId="8" xfId="0" applyNumberFormat="1" applyFont="1" applyFill="1" applyBorder="1" applyAlignment="1">
      <alignment horizontal="center"/>
    </xf>
    <xf numFmtId="167" fontId="2" fillId="4" borderId="8" xfId="0" applyNumberFormat="1" applyFont="1" applyFill="1" applyBorder="1" applyAlignment="1">
      <alignment horizontal="left"/>
    </xf>
    <xf numFmtId="167" fontId="2" fillId="4" borderId="9" xfId="0" applyNumberFormat="1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10" fontId="0" fillId="0" borderId="0" xfId="0" pivotButton="1" applyNumberFormat="1"/>
    <xf numFmtId="10" fontId="0" fillId="0" borderId="0" xfId="0" applyNumberFormat="1"/>
    <xf numFmtId="10" fontId="0" fillId="0" borderId="0" xfId="0" applyNumberFormat="1" applyAlignment="1">
      <alignment wrapText="1"/>
    </xf>
    <xf numFmtId="0" fontId="0" fillId="0" borderId="0" xfId="0" applyBorder="1"/>
    <xf numFmtId="167" fontId="0" fillId="0" borderId="10" xfId="0" pivotButton="1" applyNumberFormat="1" applyBorder="1"/>
    <xf numFmtId="167" fontId="0" fillId="0" borderId="10" xfId="0" applyNumberFormat="1" applyBorder="1"/>
    <xf numFmtId="0" fontId="0" fillId="0" borderId="10" xfId="0" pivotButton="1" applyBorder="1"/>
    <xf numFmtId="165" fontId="0" fillId="0" borderId="10" xfId="0" applyNumberFormat="1" applyBorder="1"/>
    <xf numFmtId="0" fontId="0" fillId="0" borderId="0" xfId="0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167" fontId="0" fillId="0" borderId="0" xfId="0" applyNumberFormat="1" applyAlignment="1">
      <alignment horizontal="center" vertical="top"/>
    </xf>
    <xf numFmtId="0" fontId="3" fillId="6" borderId="0" xfId="0" applyFont="1" applyFill="1" applyAlignment="1">
      <alignment horizontal="center" vertical="top" wrapText="1"/>
    </xf>
    <xf numFmtId="0" fontId="7" fillId="5" borderId="12" xfId="0" applyFont="1" applyFill="1" applyBorder="1" applyAlignment="1">
      <alignment horizontal="center" vertical="top"/>
    </xf>
    <xf numFmtId="0" fontId="8" fillId="5" borderId="12" xfId="0" applyFont="1" applyFill="1" applyBorder="1" applyAlignment="1">
      <alignment horizontal="center" vertical="top"/>
    </xf>
    <xf numFmtId="167" fontId="8" fillId="5" borderId="12" xfId="0" applyNumberFormat="1" applyFont="1" applyFill="1" applyBorder="1" applyAlignment="1">
      <alignment horizontal="center" vertical="top"/>
    </xf>
    <xf numFmtId="0" fontId="8" fillId="5" borderId="12" xfId="0" applyFont="1" applyFill="1" applyBorder="1" applyAlignment="1">
      <alignment horizontal="center" vertical="top" wrapText="1"/>
    </xf>
    <xf numFmtId="168" fontId="5" fillId="7" borderId="12" xfId="0" applyNumberFormat="1" applyFont="1" applyFill="1" applyBorder="1" applyAlignment="1">
      <alignment horizontal="center" vertical="top"/>
    </xf>
    <xf numFmtId="168" fontId="4" fillId="7" borderId="12" xfId="0" applyNumberFormat="1" applyFont="1" applyFill="1" applyBorder="1" applyAlignment="1">
      <alignment horizontal="center" vertical="top"/>
    </xf>
    <xf numFmtId="166" fontId="6" fillId="7" borderId="12" xfId="0" applyNumberFormat="1" applyFont="1" applyFill="1" applyBorder="1" applyAlignment="1">
      <alignment horizontal="center" vertical="top"/>
    </xf>
    <xf numFmtId="0" fontId="0" fillId="6" borderId="0" xfId="0" applyFill="1" applyBorder="1" applyAlignment="1">
      <alignment horizontal="center" vertical="top"/>
    </xf>
    <xf numFmtId="0" fontId="0" fillId="7" borderId="12" xfId="0" applyFill="1" applyBorder="1" applyAlignment="1">
      <alignment horizontal="center" vertical="top"/>
    </xf>
    <xf numFmtId="167" fontId="0" fillId="7" borderId="12" xfId="0" applyNumberFormat="1" applyFill="1" applyBorder="1" applyAlignment="1">
      <alignment horizontal="center" vertical="top"/>
    </xf>
    <xf numFmtId="0" fontId="0" fillId="6" borderId="0" xfId="0" applyFill="1" applyAlignment="1">
      <alignment horizontal="center" vertical="top"/>
    </xf>
    <xf numFmtId="167" fontId="6" fillId="6" borderId="0" xfId="0" applyNumberFormat="1" applyFont="1" applyFill="1" applyBorder="1" applyAlignment="1">
      <alignment horizontal="center" vertical="top"/>
    </xf>
    <xf numFmtId="167" fontId="0" fillId="6" borderId="0" xfId="0" applyNumberFormat="1" applyFill="1" applyAlignment="1">
      <alignment horizontal="center" vertical="top"/>
    </xf>
    <xf numFmtId="0" fontId="0" fillId="0" borderId="12" xfId="0" applyBorder="1" applyAlignment="1">
      <alignment horizontal="center" vertical="top"/>
    </xf>
    <xf numFmtId="167" fontId="0" fillId="0" borderId="10" xfId="0" pivotButton="1" applyNumberFormat="1" applyBorder="1" applyAlignment="1">
      <alignment horizontal="center" vertical="top"/>
    </xf>
    <xf numFmtId="167" fontId="0" fillId="0" borderId="10" xfId="0" applyNumberFormat="1" applyBorder="1" applyAlignment="1">
      <alignment horizontal="center" vertical="top"/>
    </xf>
  </cellXfs>
  <cellStyles count="1">
    <cellStyle name="Normal" xfId="0" builtinId="0"/>
  </cellStyles>
  <dxfs count="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/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border outline="0">
        <top style="thin">
          <color rgb="FFCCCCCC"/>
        </top>
      </border>
    </dxf>
    <dxf>
      <border outline="0">
        <bottom style="thin">
          <color rgb="FFCCCCCC"/>
        </bottom>
      </border>
    </dxf>
    <dxf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scheme val="none"/>
      </font>
      <numFmt numFmtId="167" formatCode="&quot;$&quot;#,##0.00"/>
      <fill>
        <patternFill patternType="solid">
          <fgColor rgb="FFFFFFFF"/>
          <bgColor rgb="FFFFFFFF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numFmt numFmtId="167" formatCode="&quot;$&quot;#,##0.00"/>
      <fill>
        <patternFill patternType="solid">
          <fgColor rgb="FF002060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/>
        <bottom/>
      </border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&quot;$&quot;#,##0.00"/>
    </dxf>
    <dxf>
      <numFmt numFmtId="167" formatCode="&quot;$&quot;#,##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07/relationships/slicerCache" Target="slicerCaches/slicerCache4.xml"/><Relationship Id="rId18" Type="http://schemas.microsoft.com/office/2007/relationships/slicerCache" Target="slicerCaches/slicerCache9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microsoft.com/office/2007/relationships/slicerCache" Target="slicerCaches/slicerCache8.xml"/><Relationship Id="rId2" Type="http://schemas.openxmlformats.org/officeDocument/2006/relationships/worksheet" Target="worksheets/sheet2.xml"/><Relationship Id="rId16" Type="http://schemas.microsoft.com/office/2007/relationships/slicerCache" Target="slicerCaches/slicerCache7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6.xml"/><Relationship Id="rId10" Type="http://schemas.microsoft.com/office/2007/relationships/slicerCache" Target="slicerCaches/slicerCache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microsoft.com/office/2007/relationships/slicerCache" Target="slicerCaches/slicerCache5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data analyst.xlsx]Sales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by Region'!$B$4:$B$9</c:f>
              <c:numCache>
                <c:formatCode>\$#,##0.00</c:formatCode>
                <c:ptCount val="5"/>
                <c:pt idx="0">
                  <c:v>766836</c:v>
                </c:pt>
                <c:pt idx="1">
                  <c:v>1366895</c:v>
                </c:pt>
                <c:pt idx="2">
                  <c:v>1196305</c:v>
                </c:pt>
                <c:pt idx="3">
                  <c:v>1056716</c:v>
                </c:pt>
                <c:pt idx="4">
                  <c:v>1824885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EC-474B-9D23-9738A9963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4188039"/>
        <c:axId val="2054190087"/>
      </c:barChart>
      <c:catAx>
        <c:axId val="2054188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90087"/>
        <c:crosses val="autoZero"/>
        <c:auto val="1"/>
        <c:lblAlgn val="ctr"/>
        <c:lblOffset val="100"/>
        <c:noMultiLvlLbl val="0"/>
      </c:catAx>
      <c:valAx>
        <c:axId val="2054190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88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data analyst.xlsx]Product sales!PivotTable2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sales'!$A$4:$A$10</c:f>
              <c:strCache>
                <c:ptCount val="6"/>
                <c:pt idx="0">
                  <c:v>Men's Apparel</c:v>
                </c:pt>
                <c:pt idx="1">
                  <c:v>Men's Athletic Footwear</c:v>
                </c:pt>
                <c:pt idx="2">
                  <c:v>Men's Street Footwear</c:v>
                </c:pt>
                <c:pt idx="3">
                  <c:v>Women's Apparel</c:v>
                </c:pt>
                <c:pt idx="4">
                  <c:v>Women's Athletic Footwear</c:v>
                </c:pt>
                <c:pt idx="5">
                  <c:v>Women's Street Footwear</c:v>
                </c:pt>
              </c:strCache>
            </c:strRef>
          </c:cat>
          <c:val>
            <c:numRef>
              <c:f>'Product sales'!$B$4:$B$10</c:f>
              <c:numCache>
                <c:formatCode>\$#,##0.00</c:formatCode>
                <c:ptCount val="6"/>
                <c:pt idx="0">
                  <c:v>721350</c:v>
                </c:pt>
                <c:pt idx="1">
                  <c:v>1088683</c:v>
                </c:pt>
                <c:pt idx="2">
                  <c:v>1543717</c:v>
                </c:pt>
                <c:pt idx="3">
                  <c:v>1233751</c:v>
                </c:pt>
                <c:pt idx="4">
                  <c:v>723635</c:v>
                </c:pt>
                <c:pt idx="5">
                  <c:v>900501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C-499E-928F-4A8E03D0C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3079303"/>
        <c:axId val="2113085447"/>
      </c:barChart>
      <c:catAx>
        <c:axId val="2113079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85447"/>
        <c:crosses val="autoZero"/>
        <c:auto val="1"/>
        <c:lblAlgn val="ctr"/>
        <c:lblOffset val="100"/>
        <c:noMultiLvlLbl val="0"/>
      </c:catAx>
      <c:valAx>
        <c:axId val="2113085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079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data analyst.xlsx]Total profit of retialers!PivotTable3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profit of retialers'!$B$3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profit of retialers'!$A$4:$A$10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'Total profit of retialers'!$B$4:$B$10</c:f>
              <c:numCache>
                <c:formatCode>"$"#,##0.00</c:formatCode>
                <c:ptCount val="6"/>
                <c:pt idx="0">
                  <c:v>179569.09</c:v>
                </c:pt>
                <c:pt idx="1">
                  <c:v>605616.94000000029</c:v>
                </c:pt>
                <c:pt idx="2">
                  <c:v>234588.26000000004</c:v>
                </c:pt>
                <c:pt idx="3">
                  <c:v>600974.29</c:v>
                </c:pt>
                <c:pt idx="4">
                  <c:v>212331.98</c:v>
                </c:pt>
                <c:pt idx="5">
                  <c:v>621332.98999999987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20-44CF-B078-54AB3261F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8363400"/>
        <c:axId val="2021705224"/>
      </c:barChart>
      <c:catAx>
        <c:axId val="1978363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05224"/>
        <c:crosses val="autoZero"/>
        <c:auto val="1"/>
        <c:lblAlgn val="ctr"/>
        <c:lblOffset val="100"/>
        <c:noMultiLvlLbl val="0"/>
      </c:catAx>
      <c:valAx>
        <c:axId val="202170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363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data analyst.xlsx]Units Sold by Region!PivotTable1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'Units Sold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'Units Sold by Region'!$A$4:$A$9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'Units Sold by Region'!$B$4:$B$9</c:f>
              <c:numCache>
                <c:formatCode>"$"#,##0.00</c:formatCode>
                <c:ptCount val="5"/>
                <c:pt idx="0">
                  <c:v>18581</c:v>
                </c:pt>
                <c:pt idx="1">
                  <c:v>26583</c:v>
                </c:pt>
                <c:pt idx="2">
                  <c:v>27811</c:v>
                </c:pt>
                <c:pt idx="3">
                  <c:v>20676</c:v>
                </c:pt>
                <c:pt idx="4">
                  <c:v>34059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6D-4739-A4C5-22A15A575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1114888"/>
        <c:axId val="466550791"/>
      </c:lineChart>
      <c:catAx>
        <c:axId val="1461114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550791"/>
        <c:crosses val="autoZero"/>
        <c:auto val="1"/>
        <c:lblAlgn val="ctr"/>
        <c:lblOffset val="100"/>
        <c:noMultiLvlLbl val="0"/>
      </c:catAx>
      <c:valAx>
        <c:axId val="466550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11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data analyst.xlsx]Average Margin!PivotTable2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Margin</a:t>
            </a:r>
          </a:p>
        </c:rich>
      </c:tx>
      <c:layout>
        <c:manualLayout>
          <c:xMode val="edge"/>
          <c:yMode val="edge"/>
          <c:x val="0.3601586596700283"/>
          <c:y val="2.67857512248504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'Average Margin'!$B$3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DF-44ED-91A6-89190186F24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DF-44ED-91A6-89190186F24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DF-44ED-91A6-89190186F24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DF-44ED-91A6-89190186F24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DF-44ED-91A6-89190186F24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4DF-44ED-91A6-89190186F24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4DF-44ED-91A6-89190186F24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4DF-44ED-91A6-89190186F24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4DF-44ED-91A6-89190186F24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4DF-44ED-91A6-89190186F24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4DF-44ED-91A6-89190186F24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4DF-44ED-91A6-89190186F24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4DF-44ED-91A6-89190186F24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4DF-44ED-91A6-89190186F24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4DF-44ED-91A6-89190186F24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4DF-44ED-91A6-89190186F24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4DF-44ED-91A6-89190186F24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4DF-44ED-91A6-89190186F24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4DF-44ED-91A6-89190186F24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4DF-44ED-91A6-89190186F24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4DF-44ED-91A6-89190186F24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4DF-44ED-91A6-89190186F24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4DF-44ED-91A6-89190186F24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4DF-44ED-91A6-89190186F24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4DF-44ED-91A6-89190186F24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4DF-44ED-91A6-89190186F24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B4DF-44ED-91A6-89190186F24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B4DF-44ED-91A6-89190186F24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B4DF-44ED-91A6-89190186F24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B4DF-44ED-91A6-89190186F24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B4DF-44ED-91A6-89190186F24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B4DF-44ED-91A6-89190186F24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B4DF-44ED-91A6-89190186F24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B4DF-44ED-91A6-89190186F24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B4DF-44ED-91A6-89190186F24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B4DF-44ED-91A6-89190186F24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B4DF-44ED-91A6-89190186F24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B4DF-44ED-91A6-89190186F24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B4DF-44ED-91A6-89190186F24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B4DF-44ED-91A6-89190186F24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B4DF-44ED-91A6-89190186F24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B4DF-44ED-91A6-89190186F24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B4DF-44ED-91A6-89190186F24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B4DF-44ED-91A6-89190186F24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B4DF-44ED-91A6-89190186F24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B4DF-44ED-91A6-89190186F24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B4DF-44ED-91A6-89190186F24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B4DF-44ED-91A6-89190186F245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B4DF-44ED-91A6-89190186F245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B4DF-44ED-91A6-89190186F245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B4DF-44ED-91A6-89190186F245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B4DF-44ED-91A6-89190186F245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B4DF-44ED-91A6-89190186F245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B4DF-44ED-91A6-89190186F245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B4DF-44ED-91A6-89190186F245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B4DF-44ED-91A6-89190186F245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B4DF-44ED-91A6-89190186F245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B4DF-44ED-91A6-89190186F245}"/>
              </c:ext>
            </c:extLst>
          </c:dPt>
          <c:cat>
            <c:strRef>
              <c:f>'Average Margin'!$A$4:$A$62</c:f>
              <c:strCache>
                <c:ptCount val="58"/>
                <c:pt idx="0">
                  <c:v>0.15</c:v>
                </c:pt>
                <c:pt idx="1">
                  <c:v>0.18</c:v>
                </c:pt>
                <c:pt idx="2">
                  <c:v>0.2</c:v>
                </c:pt>
                <c:pt idx="3">
                  <c:v>0.21</c:v>
                </c:pt>
                <c:pt idx="4">
                  <c:v>0.25</c:v>
                </c:pt>
                <c:pt idx="5">
                  <c:v>0.26</c:v>
                </c:pt>
                <c:pt idx="6">
                  <c:v>0.27</c:v>
                </c:pt>
                <c:pt idx="7">
                  <c:v>0.28</c:v>
                </c:pt>
                <c:pt idx="8">
                  <c:v>0.29</c:v>
                </c:pt>
                <c:pt idx="9">
                  <c:v>0.3</c:v>
                </c:pt>
                <c:pt idx="10">
                  <c:v>0.31</c:v>
                </c:pt>
                <c:pt idx="11">
                  <c:v>0.32</c:v>
                </c:pt>
                <c:pt idx="12">
                  <c:v>0.33</c:v>
                </c:pt>
                <c:pt idx="13">
                  <c:v>0.34</c:v>
                </c:pt>
                <c:pt idx="14">
                  <c:v>0.35</c:v>
                </c:pt>
                <c:pt idx="15">
                  <c:v>0.36</c:v>
                </c:pt>
                <c:pt idx="16">
                  <c:v>0.37</c:v>
                </c:pt>
                <c:pt idx="17">
                  <c:v>0.38</c:v>
                </c:pt>
                <c:pt idx="18">
                  <c:v>0.39</c:v>
                </c:pt>
                <c:pt idx="19">
                  <c:v>0.4</c:v>
                </c:pt>
                <c:pt idx="20">
                  <c:v>0.41</c:v>
                </c:pt>
                <c:pt idx="21">
                  <c:v>0.42</c:v>
                </c:pt>
                <c:pt idx="22">
                  <c:v>0.43</c:v>
                </c:pt>
                <c:pt idx="23">
                  <c:v>0.43</c:v>
                </c:pt>
                <c:pt idx="24">
                  <c:v>0.44</c:v>
                </c:pt>
                <c:pt idx="25">
                  <c:v>0.44</c:v>
                </c:pt>
                <c:pt idx="26">
                  <c:v>0.45</c:v>
                </c:pt>
                <c:pt idx="27">
                  <c:v>0.46</c:v>
                </c:pt>
                <c:pt idx="28">
                  <c:v>0.47</c:v>
                </c:pt>
                <c:pt idx="29">
                  <c:v>0.48</c:v>
                </c:pt>
                <c:pt idx="30">
                  <c:v>0.49</c:v>
                </c:pt>
                <c:pt idx="31">
                  <c:v>0.5</c:v>
                </c:pt>
                <c:pt idx="32">
                  <c:v>0.5</c:v>
                </c:pt>
                <c:pt idx="33">
                  <c:v>0.51</c:v>
                </c:pt>
                <c:pt idx="34">
                  <c:v>0.52</c:v>
                </c:pt>
                <c:pt idx="35">
                  <c:v>0.53</c:v>
                </c:pt>
                <c:pt idx="36">
                  <c:v>0.54</c:v>
                </c:pt>
                <c:pt idx="37">
                  <c:v>0.54</c:v>
                </c:pt>
                <c:pt idx="38">
                  <c:v>0.55</c:v>
                </c:pt>
                <c:pt idx="39">
                  <c:v>0.55</c:v>
                </c:pt>
                <c:pt idx="40">
                  <c:v>0.56</c:v>
                </c:pt>
                <c:pt idx="41">
                  <c:v>0.57</c:v>
                </c:pt>
                <c:pt idx="42">
                  <c:v>0.58</c:v>
                </c:pt>
                <c:pt idx="43">
                  <c:v>0.59</c:v>
                </c:pt>
                <c:pt idx="44">
                  <c:v>0.6</c:v>
                </c:pt>
                <c:pt idx="45">
                  <c:v>0.6</c:v>
                </c:pt>
                <c:pt idx="46">
                  <c:v>0.61</c:v>
                </c:pt>
                <c:pt idx="47">
                  <c:v>0.61</c:v>
                </c:pt>
                <c:pt idx="48">
                  <c:v>0.62</c:v>
                </c:pt>
                <c:pt idx="49">
                  <c:v>0.63</c:v>
                </c:pt>
                <c:pt idx="50">
                  <c:v>0.64</c:v>
                </c:pt>
                <c:pt idx="51">
                  <c:v>0.65</c:v>
                </c:pt>
                <c:pt idx="52">
                  <c:v>0.65</c:v>
                </c:pt>
                <c:pt idx="53">
                  <c:v>0.66</c:v>
                </c:pt>
                <c:pt idx="54">
                  <c:v>0.67</c:v>
                </c:pt>
                <c:pt idx="55">
                  <c:v>0.69</c:v>
                </c:pt>
                <c:pt idx="56">
                  <c:v>0.7</c:v>
                </c:pt>
                <c:pt idx="57">
                  <c:v>0.79</c:v>
                </c:pt>
              </c:strCache>
            </c:strRef>
          </c:cat>
          <c:val>
            <c:numRef>
              <c:f>'Average Margin'!$B$4:$B$62</c:f>
              <c:numCache>
                <c:formatCode>"$"#,##0.00</c:formatCode>
                <c:ptCount val="58"/>
                <c:pt idx="0">
                  <c:v>27075</c:v>
                </c:pt>
                <c:pt idx="1">
                  <c:v>1713.6</c:v>
                </c:pt>
                <c:pt idx="2">
                  <c:v>30450</c:v>
                </c:pt>
                <c:pt idx="3">
                  <c:v>2842.14</c:v>
                </c:pt>
                <c:pt idx="4">
                  <c:v>96682.25</c:v>
                </c:pt>
                <c:pt idx="5">
                  <c:v>7735.52</c:v>
                </c:pt>
                <c:pt idx="6">
                  <c:v>793.26</c:v>
                </c:pt>
                <c:pt idx="7">
                  <c:v>4778.4799999999996</c:v>
                </c:pt>
                <c:pt idx="8">
                  <c:v>2496.3199999999997</c:v>
                </c:pt>
                <c:pt idx="9">
                  <c:v>122030.39999999999</c:v>
                </c:pt>
                <c:pt idx="10">
                  <c:v>5787.08</c:v>
                </c:pt>
                <c:pt idx="11">
                  <c:v>4912.6400000000003</c:v>
                </c:pt>
                <c:pt idx="12">
                  <c:v>7830.9</c:v>
                </c:pt>
                <c:pt idx="13">
                  <c:v>17178.499999999996</c:v>
                </c:pt>
                <c:pt idx="14">
                  <c:v>470977.15</c:v>
                </c:pt>
                <c:pt idx="15">
                  <c:v>17205.48</c:v>
                </c:pt>
                <c:pt idx="16">
                  <c:v>10972.72</c:v>
                </c:pt>
                <c:pt idx="17">
                  <c:v>13992.74</c:v>
                </c:pt>
                <c:pt idx="18">
                  <c:v>20069.79</c:v>
                </c:pt>
                <c:pt idx="19">
                  <c:v>450836.4</c:v>
                </c:pt>
                <c:pt idx="20">
                  <c:v>37920.49</c:v>
                </c:pt>
                <c:pt idx="21">
                  <c:v>36702.120000000003</c:v>
                </c:pt>
                <c:pt idx="22">
                  <c:v>4861.1499999999996</c:v>
                </c:pt>
                <c:pt idx="23">
                  <c:v>7070.06</c:v>
                </c:pt>
                <c:pt idx="24">
                  <c:v>25545.079999999998</c:v>
                </c:pt>
                <c:pt idx="25">
                  <c:v>6017.44</c:v>
                </c:pt>
                <c:pt idx="26">
                  <c:v>190794.15000000002</c:v>
                </c:pt>
                <c:pt idx="27">
                  <c:v>17673.660000000003</c:v>
                </c:pt>
                <c:pt idx="28">
                  <c:v>43900.820000000007</c:v>
                </c:pt>
                <c:pt idx="29">
                  <c:v>25670.400000000001</c:v>
                </c:pt>
                <c:pt idx="30">
                  <c:v>37410.03</c:v>
                </c:pt>
                <c:pt idx="31">
                  <c:v>46642.5</c:v>
                </c:pt>
                <c:pt idx="32">
                  <c:v>181121</c:v>
                </c:pt>
                <c:pt idx="33">
                  <c:v>50898</c:v>
                </c:pt>
                <c:pt idx="34">
                  <c:v>11161.279999999999</c:v>
                </c:pt>
                <c:pt idx="35">
                  <c:v>37677.700000000004</c:v>
                </c:pt>
                <c:pt idx="36">
                  <c:v>48152.34</c:v>
                </c:pt>
                <c:pt idx="37">
                  <c:v>3598.56</c:v>
                </c:pt>
                <c:pt idx="38">
                  <c:v>15962.65</c:v>
                </c:pt>
                <c:pt idx="39">
                  <c:v>103851.00000000001</c:v>
                </c:pt>
                <c:pt idx="40">
                  <c:v>23161.599999999999</c:v>
                </c:pt>
                <c:pt idx="41">
                  <c:v>21723.27</c:v>
                </c:pt>
                <c:pt idx="42">
                  <c:v>5072.1000000000004</c:v>
                </c:pt>
                <c:pt idx="43">
                  <c:v>8339.0600000000013</c:v>
                </c:pt>
                <c:pt idx="44">
                  <c:v>2550</c:v>
                </c:pt>
                <c:pt idx="45">
                  <c:v>21720</c:v>
                </c:pt>
                <c:pt idx="46">
                  <c:v>11969.42</c:v>
                </c:pt>
                <c:pt idx="47">
                  <c:v>6414.76</c:v>
                </c:pt>
                <c:pt idx="48">
                  <c:v>1296.42</c:v>
                </c:pt>
                <c:pt idx="49">
                  <c:v>8675.73</c:v>
                </c:pt>
                <c:pt idx="50">
                  <c:v>27493.119999999999</c:v>
                </c:pt>
                <c:pt idx="51">
                  <c:v>18759.649999999998</c:v>
                </c:pt>
                <c:pt idx="52">
                  <c:v>14787.5</c:v>
                </c:pt>
                <c:pt idx="53">
                  <c:v>2059.1999999999998</c:v>
                </c:pt>
                <c:pt idx="54">
                  <c:v>6334.18</c:v>
                </c:pt>
                <c:pt idx="55">
                  <c:v>13039.62</c:v>
                </c:pt>
                <c:pt idx="56">
                  <c:v>3710</c:v>
                </c:pt>
                <c:pt idx="57">
                  <c:v>8317.1200000000008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DE-46C1-B47D-859792528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data analyst.xlsx]Sales by Region!PivotTable1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Region'!$A$4:$A$9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'Sales by Region'!$B$4:$B$9</c:f>
              <c:numCache>
                <c:formatCode>\$#,##0.00</c:formatCode>
                <c:ptCount val="5"/>
                <c:pt idx="0">
                  <c:v>766836</c:v>
                </c:pt>
                <c:pt idx="1">
                  <c:v>1366895</c:v>
                </c:pt>
                <c:pt idx="2">
                  <c:v>1196305</c:v>
                </c:pt>
                <c:pt idx="3">
                  <c:v>1056716</c:v>
                </c:pt>
                <c:pt idx="4">
                  <c:v>1824885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D-494A-A6B4-871BE334E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4188039"/>
        <c:axId val="2054190087"/>
      </c:barChart>
      <c:catAx>
        <c:axId val="2054188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90087"/>
        <c:crosses val="autoZero"/>
        <c:auto val="1"/>
        <c:lblAlgn val="ctr"/>
        <c:lblOffset val="100"/>
        <c:noMultiLvlLbl val="0"/>
      </c:catAx>
      <c:valAx>
        <c:axId val="2054190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88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data analyst.xlsx]Total profit of retialers!PivotTable3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profit of retialers'!$B$3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profit of retialers'!$A$4:$A$10</c:f>
              <c:strCache>
                <c:ptCount val="6"/>
                <c:pt idx="0">
                  <c:v>Amazon</c:v>
                </c:pt>
                <c:pt idx="1">
                  <c:v>Foot Locker</c:v>
                </c:pt>
                <c:pt idx="2">
                  <c:v>Kohl's</c:v>
                </c:pt>
                <c:pt idx="3">
                  <c:v>Sports Direct</c:v>
                </c:pt>
                <c:pt idx="4">
                  <c:v>Walmart</c:v>
                </c:pt>
                <c:pt idx="5">
                  <c:v>West Gear</c:v>
                </c:pt>
              </c:strCache>
            </c:strRef>
          </c:cat>
          <c:val>
            <c:numRef>
              <c:f>'Total profit of retialers'!$B$4:$B$10</c:f>
              <c:numCache>
                <c:formatCode>"$"#,##0.00</c:formatCode>
                <c:ptCount val="6"/>
                <c:pt idx="0">
                  <c:v>179569.09</c:v>
                </c:pt>
                <c:pt idx="1">
                  <c:v>605616.94000000029</c:v>
                </c:pt>
                <c:pt idx="2">
                  <c:v>234588.26000000004</c:v>
                </c:pt>
                <c:pt idx="3">
                  <c:v>600974.29</c:v>
                </c:pt>
                <c:pt idx="4">
                  <c:v>212331.98</c:v>
                </c:pt>
                <c:pt idx="5">
                  <c:v>621332.98999999987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A-44D5-9FF2-AD7C7D31A7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8363400"/>
        <c:axId val="2021705224"/>
      </c:barChart>
      <c:catAx>
        <c:axId val="1978363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705224"/>
        <c:crosses val="autoZero"/>
        <c:auto val="1"/>
        <c:lblAlgn val="ctr"/>
        <c:lblOffset val="100"/>
        <c:noMultiLvlLbl val="0"/>
      </c:catAx>
      <c:valAx>
        <c:axId val="202170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363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[Adidas Sales data analyst.xlsx]Units Sold by Region!PivotTable1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 Sold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'Units Sold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'Units Sold by Region'!$A$4:$A$9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'Units Sold by Region'!$B$4:$B$9</c:f>
              <c:numCache>
                <c:formatCode>"$"#,##0.00</c:formatCode>
                <c:ptCount val="5"/>
                <c:pt idx="0">
                  <c:v>18581</c:v>
                </c:pt>
                <c:pt idx="1">
                  <c:v>26583</c:v>
                </c:pt>
                <c:pt idx="2">
                  <c:v>27811</c:v>
                </c:pt>
                <c:pt idx="3">
                  <c:v>20676</c:v>
                </c:pt>
                <c:pt idx="4">
                  <c:v>34059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83-4E57-85BD-E541F8D17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1114888"/>
        <c:axId val="466550791"/>
      </c:barChart>
      <c:catAx>
        <c:axId val="1461114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550791"/>
        <c:crosses val="autoZero"/>
        <c:auto val="1"/>
        <c:lblAlgn val="ctr"/>
        <c:lblOffset val="100"/>
        <c:noMultiLvlLbl val="0"/>
      </c:catAx>
      <c:valAx>
        <c:axId val="466550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1114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495300</xdr:colOff>
      <xdr:row>2</xdr:row>
      <xdr:rowOff>19050</xdr:rowOff>
    </xdr:from>
    <xdr:to>
      <xdr:col>10</xdr:col>
      <xdr:colOff>190500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694EDD-87CD-8798-48D0-49CC8733C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409575</xdr:colOff>
      <xdr:row>17</xdr:row>
      <xdr:rowOff>161925</xdr:rowOff>
    </xdr:from>
    <xdr:to>
      <xdr:col>4</xdr:col>
      <xdr:colOff>485775</xdr:colOff>
      <xdr:row>31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gion">
              <a:extLst>
                <a:ext uri="{FF2B5EF4-FFF2-40B4-BE49-F238E27FC236}">
                  <a16:creationId xmlns:a16="http://schemas.microsoft.com/office/drawing/2014/main" id="{F9B0A293-370E-4DB3-A233-AA13F6D7B9C1}"/>
                </a:ext>
                <a:ext uri="{147F2762-F138-4A5C-976F-8EAC2B608ADB}">
                  <a16:predDERef xmlns:a16="http://schemas.microsoft.com/office/drawing/2014/main" pred="{6F694EDD-87CD-8798-48D0-49CC8733CA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4575" y="3400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85725</xdr:colOff>
      <xdr:row>17</xdr:row>
      <xdr:rowOff>180975</xdr:rowOff>
    </xdr:from>
    <xdr:to>
      <xdr:col>8</xdr:col>
      <xdr:colOff>85725</xdr:colOff>
      <xdr:row>31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otal Sales">
              <a:extLst>
                <a:ext uri="{FF2B5EF4-FFF2-40B4-BE49-F238E27FC236}">
                  <a16:creationId xmlns:a16="http://schemas.microsoft.com/office/drawing/2014/main" id="{A7781C9F-A4F6-9858-B002-8EDE044AEFBE}"/>
                </a:ext>
                <a:ext uri="{147F2762-F138-4A5C-976F-8EAC2B608ADB}">
                  <a16:predDERef xmlns:a16="http://schemas.microsoft.com/office/drawing/2014/main" pred="{F9B0A293-370E-4DB3-A233-AA13F6D7B9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Sal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52925" y="3419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161925</xdr:rowOff>
    </xdr:from>
    <xdr:to>
      <xdr:col>10</xdr:col>
      <xdr:colOff>0</xdr:colOff>
      <xdr:row>16</xdr:row>
      <xdr:rowOff>47625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F04892-5ECB-5FC7-60E2-38CC2E82F5D1}"/>
            </a:ext>
            <a:ext uri="{147F2762-F138-4A5C-976F-8EAC2B608ADB}">
              <a16:predDERef xmlns:a16="http://schemas.microsoft.com/office/drawing/2014/main" pred="{3D2DDFCA-2290-BBC2-F304-FECF4FF9E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428625</xdr:colOff>
      <xdr:row>16</xdr:row>
      <xdr:rowOff>152400</xdr:rowOff>
    </xdr:from>
    <xdr:to>
      <xdr:col>5</xdr:col>
      <xdr:colOff>428625</xdr:colOff>
      <xdr:row>30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Product">
              <a:extLst>
                <a:ext uri="{FF2B5EF4-FFF2-40B4-BE49-F238E27FC236}">
                  <a16:creationId xmlns:a16="http://schemas.microsoft.com/office/drawing/2014/main" id="{88885CB2-7CB8-6646-7796-A43847EA9D85}"/>
                </a:ext>
                <a:ext uri="{147F2762-F138-4A5C-976F-8EAC2B608ADB}">
                  <a16:predDERef xmlns:a16="http://schemas.microsoft.com/office/drawing/2014/main" pred="{75F04892-5ECB-5FC7-60E2-38CC2E82F5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48025" y="3200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104775</xdr:colOff>
      <xdr:row>16</xdr:row>
      <xdr:rowOff>152400</xdr:rowOff>
    </xdr:from>
    <xdr:to>
      <xdr:col>9</xdr:col>
      <xdr:colOff>104775</xdr:colOff>
      <xdr:row>30</xdr:row>
      <xdr:rowOff>123825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otal Sales 1">
              <a:extLst>
                <a:ext uri="{FF2B5EF4-FFF2-40B4-BE49-F238E27FC236}">
                  <a16:creationId xmlns:a16="http://schemas.microsoft.com/office/drawing/2014/main" id="{76AB4937-B2A6-5252-075F-966CBBEA880D}"/>
                </a:ext>
                <a:ext uri="{147F2762-F138-4A5C-976F-8EAC2B608ADB}">
                  <a16:predDERef xmlns:a16="http://schemas.microsoft.com/office/drawing/2014/main" pred="{88885CB2-7CB8-6646-7796-A43847EA9D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Sale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62575" y="32004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</xdr:row>
      <xdr:rowOff>57150</xdr:rowOff>
    </xdr:from>
    <xdr:to>
      <xdr:col>10</xdr:col>
      <xdr:colOff>295275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1ECE7F-965A-5F3E-EC87-6B07103639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85725</xdr:colOff>
      <xdr:row>16</xdr:row>
      <xdr:rowOff>66675</xdr:rowOff>
    </xdr:from>
    <xdr:to>
      <xdr:col>6</xdr:col>
      <xdr:colOff>85725</xdr:colOff>
      <xdr:row>30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Retailer">
              <a:extLst>
                <a:ext uri="{FF2B5EF4-FFF2-40B4-BE49-F238E27FC236}">
                  <a16:creationId xmlns:a16="http://schemas.microsoft.com/office/drawing/2014/main" id="{EC6BB840-AD8A-EE70-F8CD-2410238A484B}"/>
                </a:ext>
                <a:ext uri="{147F2762-F138-4A5C-976F-8EAC2B608ADB}">
                  <a16:predDERef xmlns:a16="http://schemas.microsoft.com/office/drawing/2014/main" pred="{B41ECE7F-965A-5F3E-EC87-6B07103639F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ail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29050" y="3114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133350</xdr:colOff>
      <xdr:row>16</xdr:row>
      <xdr:rowOff>57150</xdr:rowOff>
    </xdr:from>
    <xdr:to>
      <xdr:col>10</xdr:col>
      <xdr:colOff>133350</xdr:colOff>
      <xdr:row>30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Operating Profit">
              <a:extLst>
                <a:ext uri="{FF2B5EF4-FFF2-40B4-BE49-F238E27FC236}">
                  <a16:creationId xmlns:a16="http://schemas.microsoft.com/office/drawing/2014/main" id="{897AD947-8B8B-DD53-0BD4-7BF11B8041B3}"/>
                </a:ext>
                <a:ext uri="{147F2762-F138-4A5C-976F-8EAC2B608ADB}">
                  <a16:predDERef xmlns:a16="http://schemas.microsoft.com/office/drawing/2014/main" pred="{EC6BB840-AD8A-EE70-F8CD-2410238A48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erating Profi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5075" y="3105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2</xdr:row>
      <xdr:rowOff>0</xdr:rowOff>
    </xdr:from>
    <xdr:to>
      <xdr:col>27</xdr:col>
      <xdr:colOff>57150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D62A28-8CF2-4A62-E2E7-38D5B7A3C2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17</xdr:row>
      <xdr:rowOff>161925</xdr:rowOff>
    </xdr:from>
    <xdr:to>
      <xdr:col>15</xdr:col>
      <xdr:colOff>28575</xdr:colOff>
      <xdr:row>31</xdr:row>
      <xdr:rowOff>133350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Region 1">
              <a:extLst>
                <a:ext uri="{FF2B5EF4-FFF2-40B4-BE49-F238E27FC236}">
                  <a16:creationId xmlns:a16="http://schemas.microsoft.com/office/drawing/2014/main" id="{681740E0-FAF2-DFC3-5A68-FB9549547FE6}"/>
                </a:ext>
                <a:ext uri="{147F2762-F138-4A5C-976F-8EAC2B608ADB}">
                  <a16:predDERef xmlns:a16="http://schemas.microsoft.com/office/drawing/2014/main" pred="{2AD62A28-8CF2-4A62-E2E7-38D5B7A3C2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7000" y="34004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17</xdr:col>
      <xdr:colOff>152400</xdr:colOff>
      <xdr:row>17</xdr:row>
      <xdr:rowOff>180975</xdr:rowOff>
    </xdr:from>
    <xdr:to>
      <xdr:col>26</xdr:col>
      <xdr:colOff>180975</xdr:colOff>
      <xdr:row>31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Units Sold">
              <a:extLst>
                <a:ext uri="{FF2B5EF4-FFF2-40B4-BE49-F238E27FC236}">
                  <a16:creationId xmlns:a16="http://schemas.microsoft.com/office/drawing/2014/main" id="{8591DFFD-E25C-C801-228A-2F527FDA80D1}"/>
                </a:ext>
                <a:ext uri="{147F2762-F138-4A5C-976F-8EAC2B608ADB}">
                  <a16:predDERef xmlns:a16="http://schemas.microsoft.com/office/drawing/2014/main" pred="{681740E0-FAF2-DFC3-5A68-FB9549547F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Units Sol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19675" y="34194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4</xdr:row>
      <xdr:rowOff>152400</xdr:rowOff>
    </xdr:from>
    <xdr:to>
      <xdr:col>10</xdr:col>
      <xdr:colOff>523875</xdr:colOff>
      <xdr:row>19</xdr:row>
      <xdr:rowOff>38100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BC5A760-69A5-9AD8-3B0F-D4C46DA7E4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457200</xdr:colOff>
      <xdr:row>20</xdr:row>
      <xdr:rowOff>0</xdr:rowOff>
    </xdr:from>
    <xdr:to>
      <xdr:col>6</xdr:col>
      <xdr:colOff>457200</xdr:colOff>
      <xdr:row>33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Operating Profit 1">
              <a:extLst>
                <a:ext uri="{FF2B5EF4-FFF2-40B4-BE49-F238E27FC236}">
                  <a16:creationId xmlns:a16="http://schemas.microsoft.com/office/drawing/2014/main" id="{75B2B97D-8E44-2CD1-59C8-06C1CDAE6E67}"/>
                </a:ext>
                <a:ext uri="{147F2762-F138-4A5C-976F-8EAC2B608ADB}">
                  <a16:predDERef xmlns:a16="http://schemas.microsoft.com/office/drawing/2014/main" pred="{0BC5A760-69A5-9AD8-3B0F-D4C46DA7E45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erating Profi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57625" y="38100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7</xdr:col>
      <xdr:colOff>476250</xdr:colOff>
      <xdr:row>20</xdr:row>
      <xdr:rowOff>9525</xdr:rowOff>
    </xdr:from>
    <xdr:to>
      <xdr:col>10</xdr:col>
      <xdr:colOff>476250</xdr:colOff>
      <xdr:row>33</xdr:row>
      <xdr:rowOff>171450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Operating Margin">
              <a:extLst>
                <a:ext uri="{FF2B5EF4-FFF2-40B4-BE49-F238E27FC236}">
                  <a16:creationId xmlns:a16="http://schemas.microsoft.com/office/drawing/2014/main" id="{5E7EBEF6-D0D0-FACD-9438-64DDD36CB6DD}"/>
                </a:ext>
                <a:ext uri="{147F2762-F138-4A5C-976F-8EAC2B608ADB}">
                  <a16:predDERef xmlns:a16="http://schemas.microsoft.com/office/drawing/2014/main" pred="{75B2B97D-8E44-2CD1-59C8-06C1CDAE6E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erating Margi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5075" y="3819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22</xdr:row>
      <xdr:rowOff>76200</xdr:rowOff>
    </xdr:from>
    <xdr:to>
      <xdr:col>1</xdr:col>
      <xdr:colOff>133350</xdr:colOff>
      <xdr:row>38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31E70B-1A64-4747-8AFE-F14235AB5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333375</xdr:colOff>
      <xdr:row>22</xdr:row>
      <xdr:rowOff>133350</xdr:rowOff>
    </xdr:from>
    <xdr:to>
      <xdr:col>2</xdr:col>
      <xdr:colOff>209550</xdr:colOff>
      <xdr:row>38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8FD0C1-01CD-44B4-87AA-D7C3D06C40AC}"/>
            </a:ext>
            <a:ext uri="{147F2762-F138-4A5C-976F-8EAC2B608ADB}">
              <a16:predDERef xmlns:a16="http://schemas.microsoft.com/office/drawing/2014/main" pred="{5D31E70B-1A64-4747-8AFE-F14235AB5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447675</xdr:colOff>
      <xdr:row>22</xdr:row>
      <xdr:rowOff>133350</xdr:rowOff>
    </xdr:from>
    <xdr:to>
      <xdr:col>3</xdr:col>
      <xdr:colOff>295275</xdr:colOff>
      <xdr:row>38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28D756-1D77-470A-AFB8-6C6B23CB71A0}"/>
            </a:ext>
            <a:ext uri="{147F2762-F138-4A5C-976F-8EAC2B608ADB}">
              <a16:predDERef xmlns:a16="http://schemas.microsoft.com/office/drawing/2014/main" pred="{418FD0C1-01CD-44B4-87AA-D7C3D06C4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2619375</xdr:colOff>
      <xdr:row>6</xdr:row>
      <xdr:rowOff>0</xdr:rowOff>
    </xdr:from>
    <xdr:to>
      <xdr:col>0</xdr:col>
      <xdr:colOff>4895850</xdr:colOff>
      <xdr:row>15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tailer 1">
              <a:extLst>
                <a:ext uri="{FF2B5EF4-FFF2-40B4-BE49-F238E27FC236}">
                  <a16:creationId xmlns:a16="http://schemas.microsoft.com/office/drawing/2014/main" id="{6F210FDC-0825-0DB1-A64E-8CD0B120DD7C}"/>
                </a:ext>
                <a:ext uri="{147F2762-F138-4A5C-976F-8EAC2B608ADB}">
                  <a16:predDERef xmlns:a16="http://schemas.microsoft.com/office/drawing/2014/main" pred="{7A28D756-1D77-470A-AFB8-6C6B23CB71A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taile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19375" y="2419350"/>
              <a:ext cx="2276475" cy="1838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6</xdr:row>
      <xdr:rowOff>0</xdr:rowOff>
    </xdr:from>
    <xdr:to>
      <xdr:col>0</xdr:col>
      <xdr:colOff>2495550</xdr:colOff>
      <xdr:row>15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 2">
              <a:extLst>
                <a:ext uri="{FF2B5EF4-FFF2-40B4-BE49-F238E27FC236}">
                  <a16:creationId xmlns:a16="http://schemas.microsoft.com/office/drawing/2014/main" id="{64254084-CDED-A01F-4FF2-769932DF8462}"/>
                </a:ext>
                <a:ext uri="{147F2762-F138-4A5C-976F-8EAC2B608ADB}">
                  <a16:predDERef xmlns:a16="http://schemas.microsoft.com/office/drawing/2014/main" pred="{6F210FDC-0825-0DB1-A64E-8CD0B120DD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419350"/>
              <a:ext cx="2486025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0</xdr:col>
      <xdr:colOff>5153025</xdr:colOff>
      <xdr:row>6</xdr:row>
      <xdr:rowOff>0</xdr:rowOff>
    </xdr:from>
    <xdr:to>
      <xdr:col>1</xdr:col>
      <xdr:colOff>2124075</xdr:colOff>
      <xdr:row>15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Product 1">
              <a:extLst>
                <a:ext uri="{FF2B5EF4-FFF2-40B4-BE49-F238E27FC236}">
                  <a16:creationId xmlns:a16="http://schemas.microsoft.com/office/drawing/2014/main" id="{106E671E-3CBB-7393-3711-CF94A0967A09}"/>
                </a:ext>
                <a:ext uri="{147F2762-F138-4A5C-976F-8EAC2B608ADB}">
                  <a16:predDERef xmlns:a16="http://schemas.microsoft.com/office/drawing/2014/main" pred="{64254084-CDED-A01F-4FF2-769932DF846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53025" y="2419350"/>
              <a:ext cx="2343150" cy="1847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3.64849965278" createdVersion="8" refreshedVersion="8" minRefreshableVersion="3" recordCount="500" xr:uid="{4121FA89-3299-435D-852F-DA68011E0AAE}">
  <cacheSource type="worksheet">
    <worksheetSource name="Table1"/>
  </cacheSource>
  <cacheFields count="13">
    <cacheField name="Retailer" numFmtId="0">
      <sharedItems count="6">
        <s v="West Gear"/>
        <s v="Amazon"/>
        <s v="Sports Direct"/>
        <s v="Foot Locker"/>
        <s v="Walmart"/>
        <s v="Kohl's"/>
      </sharedItems>
    </cacheField>
    <cacheField name="Retailer ID" numFmtId="0">
      <sharedItems containsSemiMixedTypes="0" containsString="0" containsNumber="1" containsInteger="1" minValue="1001" maxValue="1006"/>
    </cacheField>
    <cacheField name="Invoice Date" numFmtId="164">
      <sharedItems containsSemiMixedTypes="0" containsNonDate="0" containsDate="1" containsString="0" minDate="2020-01-02T00:00:00" maxDate="2021-12-26T00:00:00" count="286">
        <d v="2021-02-11T00:00:00"/>
        <d v="2021-06-22T00:00:00"/>
        <d v="2021-03-16T00:00:00"/>
        <d v="2021-12-10T00:00:00"/>
        <d v="2021-11-12T00:00:00"/>
        <d v="2021-02-04T00:00:00"/>
        <d v="2021-07-09T00:00:00"/>
        <d v="2021-05-14T00:00:00"/>
        <d v="2021-11-24T00:00:00"/>
        <d v="2021-03-23T00:00:00"/>
        <d v="2021-10-12T00:00:00"/>
        <d v="2020-05-02T00:00:00"/>
        <d v="2021-09-18T00:00:00"/>
        <d v="2021-09-15T00:00:00"/>
        <d v="2021-05-12T00:00:00"/>
        <d v="2021-12-08T00:00:00"/>
        <d v="2021-12-19T00:00:00"/>
        <d v="2021-05-15T00:00:00"/>
        <d v="2021-12-06T00:00:00"/>
        <d v="2021-03-08T00:00:00"/>
        <d v="2020-07-24T00:00:00"/>
        <d v="2021-08-20T00:00:00"/>
        <d v="2021-09-19T00:00:00"/>
        <d v="2021-11-19T00:00:00"/>
        <d v="2021-01-13T00:00:00"/>
        <d v="2021-10-08T00:00:00"/>
        <d v="2020-02-22T00:00:00"/>
        <d v="2021-11-17T00:00:00"/>
        <d v="2021-10-07T00:00:00"/>
        <d v="2021-10-04T00:00:00"/>
        <d v="2021-07-17T00:00:00"/>
        <d v="2021-06-09T00:00:00"/>
        <d v="2021-06-24T00:00:00"/>
        <d v="2021-11-02T00:00:00"/>
        <d v="2020-12-31T00:00:00"/>
        <d v="2020-08-29T00:00:00"/>
        <d v="2021-04-17T00:00:00"/>
        <d v="2021-08-05T00:00:00"/>
        <d v="2021-11-18T00:00:00"/>
        <d v="2020-04-18T00:00:00"/>
        <d v="2021-09-28T00:00:00"/>
        <d v="2021-02-08T00:00:00"/>
        <d v="2021-10-22T00:00:00"/>
        <d v="2021-04-14T00:00:00"/>
        <d v="2020-01-29T00:00:00"/>
        <d v="2021-09-10T00:00:00"/>
        <d v="2020-02-13T00:00:00"/>
        <d v="2021-06-15T00:00:00"/>
        <d v="2021-09-27T00:00:00"/>
        <d v="2020-03-17T00:00:00"/>
        <d v="2021-06-19T00:00:00"/>
        <d v="2021-05-06T00:00:00"/>
        <d v="2020-05-03T00:00:00"/>
        <d v="2021-04-12T00:00:00"/>
        <d v="2021-04-03T00:00:00"/>
        <d v="2021-08-24T00:00:00"/>
        <d v="2021-11-21T00:00:00"/>
        <d v="2021-07-20T00:00:00"/>
        <d v="2021-08-09T00:00:00"/>
        <d v="2020-01-09T00:00:00"/>
        <d v="2020-04-14T00:00:00"/>
        <d v="2020-10-29T00:00:00"/>
        <d v="2021-01-24T00:00:00"/>
        <d v="2021-09-16T00:00:00"/>
        <d v="2021-06-17T00:00:00"/>
        <d v="2021-08-13T00:00:00"/>
        <d v="2021-02-15T00:00:00"/>
        <d v="2021-11-22T00:00:00"/>
        <d v="2020-01-24T00:00:00"/>
        <d v="2021-11-20T00:00:00"/>
        <d v="2021-12-17T00:00:00"/>
        <d v="2020-07-29T00:00:00"/>
        <d v="2021-06-04T00:00:00"/>
        <d v="2020-09-09T00:00:00"/>
        <d v="2021-08-11T00:00:00"/>
        <d v="2021-11-05T00:00:00"/>
        <d v="2021-06-07T00:00:00"/>
        <d v="2021-05-13T00:00:00"/>
        <d v="2021-08-18T00:00:00"/>
        <d v="2021-03-09T00:00:00"/>
        <d v="2021-03-15T00:00:00"/>
        <d v="2021-08-17T00:00:00"/>
        <d v="2021-01-11T00:00:00"/>
        <d v="2020-08-08T00:00:00"/>
        <d v="2021-10-06T00:00:00"/>
        <d v="2021-11-10T00:00:00"/>
        <d v="2020-12-24T00:00:00"/>
        <d v="2020-02-16T00:00:00"/>
        <d v="2021-10-11T00:00:00"/>
        <d v="2021-09-02T00:00:00"/>
        <d v="2020-08-05T00:00:00"/>
        <d v="2021-06-08T00:00:00"/>
        <d v="2021-10-21T00:00:00"/>
        <d v="2021-05-18T00:00:00"/>
        <d v="2020-01-02T00:00:00"/>
        <d v="2021-09-12T00:00:00"/>
        <d v="2021-12-05T00:00:00"/>
        <d v="2021-03-10T00:00:00"/>
        <d v="2020-04-20T00:00:00"/>
        <d v="2020-09-05T00:00:00"/>
        <d v="2020-06-26T00:00:00"/>
        <d v="2020-12-28T00:00:00"/>
        <d v="2021-09-06T00:00:00"/>
        <d v="2021-08-10T00:00:00"/>
        <d v="2021-11-11T00:00:00"/>
        <d v="2021-02-13T00:00:00"/>
        <d v="2021-12-13T00:00:00"/>
        <d v="2021-02-10T00:00:00"/>
        <d v="2021-03-17T00:00:00"/>
        <d v="2020-07-15T00:00:00"/>
        <d v="2021-05-27T00:00:00"/>
        <d v="2021-06-10T00:00:00"/>
        <d v="2020-02-11T00:00:00"/>
        <d v="2021-01-10T00:00:00"/>
        <d v="2021-09-22T00:00:00"/>
        <d v="2021-12-16T00:00:00"/>
        <d v="2021-05-20T00:00:00"/>
        <d v="2021-10-10T00:00:00"/>
        <d v="2021-05-17T00:00:00"/>
        <d v="2021-04-04T00:00:00"/>
        <d v="2021-12-15T00:00:00"/>
        <d v="2021-10-05T00:00:00"/>
        <d v="2021-09-23T00:00:00"/>
        <d v="2020-04-27T00:00:00"/>
        <d v="2020-10-21T00:00:00"/>
        <d v="2020-12-30T00:00:00"/>
        <d v="2021-04-26T00:00:00"/>
        <d v="2021-07-11T00:00:00"/>
        <d v="2021-07-12T00:00:00"/>
        <d v="2021-04-22T00:00:00"/>
        <d v="2021-05-29T00:00:00"/>
        <d v="2021-03-20T00:00:00"/>
        <d v="2021-03-05T00:00:00"/>
        <d v="2021-05-11T00:00:00"/>
        <d v="2021-11-23T00:00:00"/>
        <d v="2020-06-13T00:00:00"/>
        <d v="2020-06-11T00:00:00"/>
        <d v="2020-08-06T00:00:00"/>
        <d v="2021-03-22T00:00:00"/>
        <d v="2021-08-06T00:00:00"/>
        <d v="2021-04-07T00:00:00"/>
        <d v="2021-06-11T00:00:00"/>
        <d v="2021-01-22T00:00:00"/>
        <d v="2021-07-16T00:00:00"/>
        <d v="2021-09-05T00:00:00"/>
        <d v="2021-01-27T00:00:00"/>
        <d v="2020-03-20T00:00:00"/>
        <d v="2020-12-07T00:00:00"/>
        <d v="2021-11-26T00:00:00"/>
        <d v="2021-01-05T00:00:00"/>
        <d v="2021-07-24T00:00:00"/>
        <d v="2021-04-13T00:00:00"/>
        <d v="2021-05-19T00:00:00"/>
        <d v="2021-04-09T00:00:00"/>
        <d v="2021-10-14T00:00:00"/>
        <d v="2020-01-14T00:00:00"/>
        <d v="2021-03-29T00:00:00"/>
        <d v="2021-12-23T00:00:00"/>
        <d v="2021-12-11T00:00:00"/>
        <d v="2021-10-23T00:00:00"/>
        <d v="2021-08-29T00:00:00"/>
        <d v="2021-02-05T00:00:00"/>
        <d v="2021-11-09T00:00:00"/>
        <d v="2021-03-13T00:00:00"/>
        <d v="2021-02-06T00:00:00"/>
        <d v="2021-03-06T00:00:00"/>
        <d v="2021-08-23T00:00:00"/>
        <d v="2020-04-24T00:00:00"/>
        <d v="2021-06-27T00:00:00"/>
        <d v="2020-03-14T00:00:00"/>
        <d v="2021-11-07T00:00:00"/>
        <d v="2021-04-11T00:00:00"/>
        <d v="2021-02-27T00:00:00"/>
        <d v="2021-07-06T00:00:00"/>
        <d v="2021-12-21T00:00:00"/>
        <d v="2020-05-05T00:00:00"/>
        <d v="2021-12-02T00:00:00"/>
        <d v="2021-04-01T00:00:00"/>
        <d v="2021-11-13T00:00:00"/>
        <d v="2021-06-21T00:00:00"/>
        <d v="2021-04-18T00:00:00"/>
        <d v="2021-10-18T00:00:00"/>
        <d v="2020-03-05T00:00:00"/>
        <d v="2021-09-04T00:00:00"/>
        <d v="2021-03-19T00:00:00"/>
        <d v="2021-08-07T00:00:00"/>
        <d v="2021-12-20T00:00:00"/>
        <d v="2021-12-25T00:00:00"/>
        <d v="2021-05-16T00:00:00"/>
        <d v="2021-07-13T00:00:00"/>
        <d v="2020-12-29T00:00:00"/>
        <d v="2020-08-23T00:00:00"/>
        <d v="2021-12-18T00:00:00"/>
        <d v="2021-01-09T00:00:00"/>
        <d v="2021-07-19T00:00:00"/>
        <d v="2021-05-03T00:00:00"/>
        <d v="2021-06-18T00:00:00"/>
        <d v="2020-05-11T00:00:00"/>
        <d v="2021-05-24T00:00:00"/>
        <d v="2021-02-18T00:00:00"/>
        <d v="2021-10-13T00:00:00"/>
        <d v="2021-07-08T00:00:00"/>
        <d v="2021-02-17T00:00:00"/>
        <d v="2021-01-12T00:00:00"/>
        <d v="2021-09-11T00:00:00"/>
        <d v="2020-09-01T00:00:00"/>
        <d v="2021-07-22T00:00:00"/>
        <d v="2020-08-07T00:00:00"/>
        <d v="2021-05-10T00:00:00"/>
        <d v="2021-04-21T00:00:00"/>
        <d v="2021-05-22T00:00:00"/>
        <d v="2020-11-20T00:00:00"/>
        <d v="2021-04-06T00:00:00"/>
        <d v="2021-07-03T00:00:00"/>
        <d v="2020-05-13T00:00:00"/>
        <d v="2021-05-25T00:00:00"/>
        <d v="2021-11-14T00:00:00"/>
        <d v="2021-02-23T00:00:00"/>
        <d v="2021-04-24T00:00:00"/>
        <d v="2020-07-31T00:00:00"/>
        <d v="2021-08-08T00:00:00"/>
        <d v="2020-04-16T00:00:00"/>
        <d v="2021-04-20T00:00:00"/>
        <d v="2021-02-14T00:00:00"/>
        <d v="2021-07-05T00:00:00"/>
        <d v="2021-02-22T00:00:00"/>
        <d v="2021-07-10T00:00:00"/>
        <d v="2021-01-17T00:00:00"/>
        <d v="2021-06-12T00:00:00"/>
        <d v="2021-03-02T00:00:00"/>
        <d v="2020-02-10T00:00:00"/>
        <d v="2021-02-24T00:00:00"/>
        <d v="2021-12-12T00:00:00"/>
        <d v="2020-03-10T00:00:00"/>
        <d v="2020-03-13T00:00:00"/>
        <d v="2020-10-27T00:00:00"/>
        <d v="2021-10-26T00:00:00"/>
        <d v="2021-09-14T00:00:00"/>
        <d v="2021-10-24T00:00:00"/>
        <d v="2020-04-13T00:00:00"/>
        <d v="2021-11-06T00:00:00"/>
        <d v="2020-02-07T00:00:00"/>
        <d v="2020-10-22T00:00:00"/>
        <d v="2021-10-17T00:00:00"/>
        <d v="2020-04-22T00:00:00"/>
        <d v="2021-01-14T00:00:00"/>
        <d v="2021-02-21T00:00:00"/>
        <d v="2021-02-12T00:00:00"/>
        <d v="2021-06-01T00:00:00"/>
        <d v="2020-06-08T00:00:00"/>
        <d v="2021-04-15T00:00:00"/>
        <d v="2021-08-04T00:00:00"/>
        <d v="2021-08-12T00:00:00"/>
        <d v="2021-02-19T00:00:00"/>
        <d v="2021-08-15T00:00:00"/>
        <d v="2021-01-06T00:00:00"/>
        <d v="2021-07-30T00:00:00"/>
        <d v="2020-03-11T00:00:00"/>
        <d v="2020-06-23T00:00:00"/>
        <d v="2021-07-31T00:00:00"/>
        <d v="2021-08-03T00:00:00"/>
        <d v="2021-04-30T00:00:00"/>
        <d v="2021-05-08T00:00:00"/>
        <d v="2021-04-16T00:00:00"/>
        <d v="2021-01-23T00:00:00"/>
        <d v="2020-04-01T00:00:00"/>
        <d v="2021-03-12T00:00:00"/>
        <d v="2020-08-20T00:00:00"/>
        <d v="2020-11-03T00:00:00"/>
        <d v="2020-08-16T00:00:00"/>
        <d v="2021-01-26T00:00:00"/>
        <d v="2021-02-09T00:00:00"/>
        <d v="2021-08-14T00:00:00"/>
        <d v="2021-03-18T00:00:00"/>
        <d v="2020-08-31T00:00:00"/>
        <d v="2021-12-09T00:00:00"/>
        <d v="2021-09-09T00:00:00"/>
        <d v="2020-12-11T00:00:00"/>
        <d v="2021-04-23T00:00:00"/>
        <d v="2021-07-25T00:00:00"/>
        <d v="2021-04-10T00:00:00"/>
        <d v="2021-04-05T00:00:00"/>
        <d v="2020-11-08T00:00:00"/>
        <d v="2021-01-03T00:00:00"/>
        <d v="2020-02-27T00:00:00"/>
        <d v="2021-01-15T00:00:00"/>
      </sharedItems>
    </cacheField>
    <cacheField name="Region" numFmtId="0">
      <sharedItems count="5">
        <s v="West"/>
        <s v="Southeast"/>
        <s v="Northeast"/>
        <s v="Midwest"/>
        <s v="South"/>
      </sharedItems>
    </cacheField>
    <cacheField name="State" numFmtId="0">
      <sharedItems/>
    </cacheField>
    <cacheField name="City" numFmtId="0">
      <sharedItems/>
    </cacheField>
    <cacheField name="Product" numFmtId="0">
      <sharedItems count="6">
        <s v="Women's Athletic Footwear"/>
        <s v="Men's Street Footwear"/>
        <s v="Women's Apparel"/>
        <s v="Men's Athletic Footwear"/>
        <s v="Men's Apparel"/>
        <s v="Women's Street Footwear"/>
      </sharedItems>
    </cacheField>
    <cacheField name="Price per Unit" numFmtId="165">
      <sharedItems containsSemiMixedTypes="0" containsString="0" containsNumber="1" containsInteger="1" minValue="7" maxValue="110"/>
    </cacheField>
    <cacheField name="Units Sold" numFmtId="3">
      <sharedItems containsSemiMixedTypes="0" containsString="0" containsNumber="1" containsInteger="1" minValue="15" maxValue="1275" count="184">
        <n v="93"/>
        <n v="525"/>
        <n v="131"/>
        <n v="145"/>
        <n v="250"/>
        <n v="163"/>
        <n v="56"/>
        <n v="400"/>
        <n v="144"/>
        <n v="78"/>
        <n v="140"/>
        <n v="322"/>
        <n v="74"/>
        <n v="280"/>
        <n v="63"/>
        <n v="77"/>
        <n v="54"/>
        <n v="200"/>
        <n v="500"/>
        <n v="65"/>
        <n v="550"/>
        <n v="203"/>
        <n v="210"/>
        <n v="173"/>
        <n v="31"/>
        <n v="117"/>
        <n v="38"/>
        <n v="112"/>
        <n v="775"/>
        <n v="196"/>
        <n v="375"/>
        <n v="60"/>
        <n v="225"/>
        <n v="75"/>
        <n v="325"/>
        <n v="293"/>
        <n v="88"/>
        <n v="355"/>
        <n v="181"/>
        <n v="175"/>
        <n v="150"/>
        <n v="41"/>
        <n v="105"/>
        <n v="96"/>
        <n v="700"/>
        <n v="308"/>
        <n v="420"/>
        <n v="83"/>
        <n v="600"/>
        <n v="122"/>
        <n v="73"/>
        <n v="300"/>
        <n v="625"/>
        <n v="425"/>
        <n v="174"/>
        <n v="84"/>
        <n v="189"/>
        <n v="116"/>
        <n v="108"/>
        <n v="161"/>
        <n v="126"/>
        <n v="68"/>
        <n v="72"/>
        <n v="1000"/>
        <n v="166"/>
        <n v="275"/>
        <n v="475"/>
        <n v="115"/>
        <n v="158"/>
        <n v="206"/>
        <n v="149"/>
        <n v="1050"/>
        <n v="495"/>
        <n v="120"/>
        <n v="216"/>
        <n v="231"/>
        <n v="875"/>
        <n v="575"/>
        <n v="51"/>
        <n v="124"/>
        <n v="107"/>
        <n v="450"/>
        <n v="350"/>
        <n v="650"/>
        <n v="270"/>
        <n v="264"/>
        <n v="188"/>
        <n v="27"/>
        <n v="91"/>
        <n v="98"/>
        <n v="248"/>
        <n v="147"/>
        <n v="202"/>
        <n v="138"/>
        <n v="208"/>
        <n v="470"/>
        <n v="125"/>
        <n v="133"/>
        <n v="1150"/>
        <n v="243"/>
        <n v="119"/>
        <n v="81"/>
        <n v="156"/>
        <n v="39"/>
        <n v="265"/>
        <n v="87"/>
        <n v="143"/>
        <n v="160"/>
        <n v="46"/>
        <n v="1125"/>
        <n v="15"/>
        <n v="182"/>
        <n v="263"/>
        <n v="168"/>
        <n v="675"/>
        <n v="128"/>
        <n v="825"/>
        <n v="169"/>
        <n v="111"/>
        <n v="180"/>
        <n v="176"/>
        <n v="201"/>
        <n v="94"/>
        <n v="28"/>
        <n v="170"/>
        <n v="162"/>
        <n v="925"/>
        <n v="100"/>
        <n v="975"/>
        <n v="85"/>
        <n v="50"/>
        <n v="101"/>
        <n v="106"/>
        <n v="195"/>
        <n v="306"/>
        <n v="102"/>
        <n v="171"/>
        <n v="29"/>
        <n v="113"/>
        <n v="109"/>
        <n v="114"/>
        <n v="1100"/>
        <n v="142"/>
        <n v="850"/>
        <n v="45"/>
        <n v="136"/>
        <n v="750"/>
        <n v="233"/>
        <n v="35"/>
        <n v="239"/>
        <n v="79"/>
        <n v="800"/>
        <n v="70"/>
        <n v="134"/>
        <n v="135"/>
        <n v="157"/>
        <n v="276"/>
        <n v="25"/>
        <n v="215"/>
        <n v="570"/>
        <n v="1275"/>
        <n v="285"/>
        <n v="44"/>
        <n v="259"/>
        <n v="281"/>
        <n v="47"/>
        <n v="61"/>
        <n v="238"/>
        <n v="224"/>
        <n v="33"/>
        <n v="69"/>
        <n v="42"/>
        <n v="267"/>
        <n v="127"/>
        <n v="95"/>
        <n v="53"/>
        <n v="21"/>
        <n v="49"/>
        <n v="22"/>
        <n v="80"/>
        <n v="314"/>
        <n v="155"/>
        <n v="184"/>
        <n v="152"/>
      </sharedItems>
    </cacheField>
    <cacheField name="Total Sales" numFmtId="165">
      <sharedItems containsSemiMixedTypes="0" containsString="0" containsNumber="1" containsInteger="1" minValue="550" maxValue="82500" count="397">
        <n v="1488"/>
        <n v="21000"/>
        <n v="6288"/>
        <n v="8700"/>
        <n v="11250"/>
        <n v="3749"/>
        <n v="1848"/>
        <n v="22000"/>
        <n v="5184"/>
        <n v="2964"/>
        <n v="3780"/>
        <n v="17066"/>
        <n v="4736"/>
        <n v="11760"/>
        <n v="2583"/>
        <n v="3003"/>
        <n v="2538"/>
        <n v="11000"/>
        <n v="25000"/>
        <n v="3120"/>
        <n v="24750"/>
        <n v="6902"/>
        <n v="11550"/>
        <n v="6228"/>
        <n v="1829"/>
        <n v="4212"/>
        <n v="2204"/>
        <n v="6496"/>
        <n v="46500"/>
        <n v="6468"/>
        <n v="15000"/>
        <n v="1620"/>
        <n v="11475"/>
        <n v="2625"/>
        <n v="14625"/>
        <n v="13771"/>
        <n v="4576"/>
        <n v="3256"/>
        <n v="32000"/>
        <n v="17040"/>
        <n v="9593"/>
        <n v="7875"/>
        <n v="8250"/>
        <n v="2576"/>
        <n v="1189"/>
        <n v="3478"/>
        <n v="4935"/>
        <n v="4128"/>
        <n v="6000"/>
        <n v="45500"/>
        <n v="2700"/>
        <n v="16324"/>
        <n v="10125"/>
        <n v="2091"/>
        <n v="8750"/>
        <n v="20160"/>
        <n v="1162"/>
        <n v="24000"/>
        <n v="2196"/>
        <n v="5037"/>
        <n v="19500"/>
        <n v="2220"/>
        <n v="34375"/>
        <n v="19125"/>
        <n v="5568"/>
        <n v="4116"/>
        <n v="10206"/>
        <n v="4524"/>
        <n v="3132"/>
        <n v="13202"/>
        <n v="7560"/>
        <n v="2176"/>
        <n v="2808"/>
        <n v="50000"/>
        <n v="2656"/>
        <n v="15125"/>
        <n v="16625"/>
        <n v="3536"/>
        <n v="9775"/>
        <n v="6794"/>
        <n v="7416"/>
        <n v="2584"/>
        <n v="6109"/>
        <n v="57750"/>
        <n v="29700"/>
        <n v="14250"/>
        <n v="7344"/>
        <n v="14322"/>
        <n v="70000"/>
        <n v="25875"/>
        <n v="1887"/>
        <n v="7936"/>
        <n v="16000"/>
        <n v="4564"/>
        <n v="11375"/>
        <n v="12900"/>
        <n v="30000"/>
        <n v="8500"/>
        <n v="4173"/>
        <n v="15750"/>
        <n v="19250"/>
        <n v="52500"/>
        <n v="12375"/>
        <n v="13500"/>
        <n v="8712"/>
        <n v="9024"/>
        <n v="1053"/>
        <n v="8000"/>
        <n v="4550"/>
        <n v="28750"/>
        <n v="3668"/>
        <n v="6846"/>
        <n v="4998"/>
        <n v="9672"/>
        <n v="9408"/>
        <n v="13534"/>
        <n v="3360"/>
        <n v="31500"/>
        <n v="7050"/>
        <n v="4416"/>
        <n v="10192"/>
        <n v="34500"/>
        <n v="23500"/>
        <n v="16250"/>
        <n v="3720"/>
        <n v="4375"/>
        <n v="10152"/>
        <n v="9617"/>
        <n v="6783"/>
        <n v="9494"/>
        <n v="3978"/>
        <n v="10528"/>
        <n v="26250"/>
        <n v="74750"/>
        <n v="10449"/>
        <n v="3075"/>
        <n v="56000"/>
        <n v="7000"/>
        <n v="3944"/>
        <n v="12544"/>
        <n v="5100"/>
        <n v="5831"/>
        <n v="42625"/>
        <n v="5589"/>
        <n v="8580"/>
        <n v="6125"/>
        <n v="1131"/>
        <n v="8745"/>
        <n v="3306"/>
        <n v="6578"/>
        <n v="16875"/>
        <n v="10880"/>
        <n v="3174"/>
        <n v="47250"/>
        <n v="36000"/>
        <n v="1674"/>
        <n v="73125"/>
        <n v="660"/>
        <n v="5096"/>
        <n v="15517"/>
        <n v="14448"/>
        <n v="35000"/>
        <n v="27000"/>
        <n v="9000"/>
        <n v="744"/>
        <n v="33000"/>
        <n v="37125"/>
        <n v="8281"/>
        <n v="777"/>
        <n v="6300"/>
        <n v="5246"/>
        <n v="1296"/>
        <n v="12780"/>
        <n v="4500"/>
        <n v="38000"/>
        <n v="3213"/>
        <n v="31250"/>
        <n v="28500"/>
        <n v="5642"/>
        <n v="4224"/>
        <n v="26000"/>
        <n v="11055"/>
        <n v="18000"/>
        <n v="14000"/>
        <n v="13676"/>
        <n v="12500"/>
        <n v="3900"/>
        <n v="7650"/>
        <n v="3100"/>
        <n v="6110"/>
        <n v="1344"/>
        <n v="9520"/>
        <n v="11692"/>
        <n v="10500"/>
        <n v="24500"/>
        <n v="4860"/>
        <n v="1372"/>
        <n v="7266"/>
        <n v="8125"/>
        <n v="46250"/>
        <n v="3700"/>
        <n v="880"/>
        <n v="68250"/>
        <n v="2352"/>
        <n v="4250"/>
        <n v="2904"/>
        <n v="4982"/>
        <n v="2050"/>
        <n v="37500"/>
        <n v="3333"/>
        <n v="10325"/>
        <n v="4536"/>
        <n v="2002"/>
        <n v="1050"/>
        <n v="25500"/>
        <n v="6784"/>
        <n v="4700"/>
        <n v="2862"/>
        <n v="3705"/>
        <n v="1140"/>
        <n v="2754"/>
        <n v="3600"/>
        <n v="18360"/>
        <n v="6500"/>
        <n v="7056"/>
        <n v="4182"/>
        <n v="8037"/>
        <n v="5504"/>
        <n v="13300"/>
        <n v="2250"/>
        <n v="1392"/>
        <n v="5536"/>
        <n v="4200"/>
        <n v="6215"/>
        <n v="4687"/>
        <n v="3441"/>
        <n v="5031"/>
        <n v="4505"/>
        <n v="3648"/>
        <n v="9280"/>
        <n v="4256"/>
        <n v="17875"/>
        <n v="3844"/>
        <n v="27500"/>
        <n v="33750"/>
        <n v="39000"/>
        <n v="38500"/>
        <n v="44000"/>
        <n v="7100"/>
        <n v="38250"/>
        <n v="5109"/>
        <n v="28875"/>
        <n v="1792"/>
        <n v="2205"/>
        <n v="4719"/>
        <n v="4788"/>
        <n v="3808"/>
        <n v="11232"/>
        <n v="32500"/>
        <n v="2898"/>
        <n v="3219"/>
        <n v="82500"/>
        <n v="4080"/>
        <n v="12000"/>
        <n v="11025"/>
        <n v="7040"/>
        <n v="3029"/>
        <n v="1715"/>
        <n v="10516"/>
        <n v="5964"/>
        <n v="9300"/>
        <n v="9600"/>
        <n v="1422"/>
        <n v="3564"/>
        <n v="52000"/>
        <n v="1728"/>
        <n v="2660"/>
        <n v="7772"/>
        <n v="6615"/>
        <n v="5460"/>
        <n v="8478"/>
        <n v="7728"/>
        <n v="48875"/>
        <n v="750"/>
        <n v="13160"/>
        <n v="2040"/>
        <n v="2912"/>
        <n v="1978"/>
        <n v="11610"/>
        <n v="6528"/>
        <n v="19840"/>
        <n v="31350"/>
        <n v="76500"/>
        <n v="6664"/>
        <n v="12540"/>
        <n v="3920"/>
        <n v="8624"/>
        <n v="9943"/>
        <n v="1232"/>
        <n v="5586"/>
        <n v="4136"/>
        <n v="3825"/>
        <n v="2016"/>
        <n v="12950"/>
        <n v="9554"/>
        <n v="1820"/>
        <n v="1504"/>
        <n v="5250"/>
        <n v="10787"/>
        <n v="1411"/>
        <n v="3864"/>
        <n v="2989"/>
        <n v="8806"/>
        <n v="22750"/>
        <n v="5600"/>
        <n v="6670"/>
        <n v="7335"/>
        <n v="1056"/>
        <n v="3276"/>
        <n v="9660"/>
        <n v="13750"/>
        <n v="2938"/>
        <n v="5076"/>
        <n v="2484"/>
        <n v="2030"/>
        <n v="1350"/>
        <n v="1806"/>
        <n v="3248"/>
        <n v="6160"/>
        <n v="14151"/>
        <n v="19000"/>
        <n v="8800"/>
        <n v="6785"/>
        <n v="23250"/>
        <n v="13000"/>
        <n v="2682"/>
        <n v="4953"/>
        <n v="2448"/>
        <n v="18788"/>
        <n v="6438"/>
        <n v="5300"/>
        <n v="40625"/>
        <n v="2340"/>
        <n v="3078"/>
        <n v="2890"/>
        <n v="4940"/>
        <n v="2173"/>
        <n v="20000"/>
        <n v="7500"/>
        <n v="4205"/>
        <n v="62000"/>
        <n v="6448"/>
        <n v="13312"/>
        <n v="15600"/>
        <n v="3500"/>
        <n v="8844"/>
        <n v="6875"/>
        <n v="35750"/>
        <n v="1029"/>
        <n v="5313"/>
        <n v="2058"/>
        <n v="6656"/>
        <n v="2592"/>
        <n v="10619"/>
        <n v="550"/>
        <n v="10000"/>
        <n v="2025"/>
        <n v="5280"/>
        <n v="1989"/>
        <n v="3240"/>
        <n v="12246"/>
        <n v="4000"/>
        <n v="7840"/>
        <n v="2788"/>
        <n v="1900"/>
        <n v="21375"/>
        <n v="6820"/>
        <n v="2500"/>
        <n v="7912"/>
        <n v="4048"/>
        <n v="8604"/>
        <n v="5000"/>
        <n v="6536"/>
        <n v="8575"/>
        <n v="3472"/>
        <n v="7020"/>
        <n v="4896"/>
        <n v="22500"/>
        <n v="9454"/>
        <n v="2424"/>
        <n v="4715"/>
        <n v="4995"/>
        <n v="7084"/>
        <n v="4144"/>
        <n v="1610"/>
        <n v="2886"/>
        <n v="15625"/>
      </sharedItems>
    </cacheField>
    <cacheField name="Operating Profit" numFmtId="165">
      <sharedItems containsSemiMixedTypes="0" containsString="0" containsNumber="1" minValue="231" maxValue="38250" count="441">
        <n v="624.96"/>
        <n v="8400"/>
        <n v="2955.36"/>
        <n v="4089"/>
        <n v="3375"/>
        <n v="1499.6"/>
        <n v="850.08"/>
        <n v="8800"/>
        <n v="2021.76"/>
        <n v="1155.96"/>
        <n v="1474.2"/>
        <n v="4778.4799999999996"/>
        <n v="1468.16"/>
        <n v="6468"/>
        <n v="1317.33"/>
        <n v="1441.44"/>
        <n v="1040.58"/>
        <n v="4620"/>
        <n v="10000"/>
        <n v="1560"/>
        <n v="8662.5"/>
        <n v="4417.28"/>
        <n v="6237"/>
        <n v="3425.4"/>
        <n v="768.18"/>
        <n v="1642.68"/>
        <n v="903.64"/>
        <n v="2858.24"/>
        <n v="23250"/>
        <n v="2975.28"/>
        <n v="5250"/>
        <n v="648"/>
        <n v="5622.75"/>
        <n v="787.5"/>
        <n v="5850"/>
        <n v="8675.73"/>
        <n v="2288"/>
        <n v="1562.88"/>
        <n v="11200"/>
        <n v="5112"/>
        <n v="5276.15"/>
        <n v="2362.5"/>
        <n v="2887.5"/>
        <n v="1262.24"/>
        <n v="416.15"/>
        <n v="1773.78"/>
        <n v="2270.1"/>
        <n v="1775.04"/>
        <n v="2100"/>
        <n v="18200"/>
        <n v="837"/>
        <n v="25575"/>
        <n v="6692.84"/>
        <n v="3543.75"/>
        <n v="1296.42"/>
        <n v="2625"/>
        <n v="11289.6"/>
        <n v="615.86"/>
        <n v="12000"/>
        <n v="900.36"/>
        <n v="2216.2800000000002"/>
        <n v="4875"/>
        <n v="1087.8"/>
        <n v="8593.75"/>
        <n v="4781.25"/>
        <n v="2338.56"/>
        <n v="3150"/>
        <n v="2058"/>
        <n v="6531.84"/>
        <n v="2262"/>
        <n v="1895.4"/>
        <n v="1503.36"/>
        <n v="1811.16"/>
        <n v="7261.1"/>
        <n v="3628.8"/>
        <n v="826.88"/>
        <n v="1319.76"/>
        <n v="12500"/>
        <n v="1168.6400000000001"/>
        <n v="5293.75"/>
        <n v="5818.75"/>
        <n v="1768"/>
        <n v="3910"/>
        <n v="2309.96"/>
        <n v="2669.76"/>
        <n v="1240.32"/>
        <n v="2321.42"/>
        <n v="25987.5"/>
        <n v="10395"/>
        <n v="2059.1999999999998"/>
        <n v="7125"/>
        <n v="4479.84"/>
        <n v="4726.26"/>
        <n v="14000"/>
        <n v="3174.92"/>
        <n v="10350"/>
        <n v="603.84"/>
        <n v="3037.5"/>
        <n v="3729.92"/>
        <n v="5600"/>
        <n v="2464.56"/>
        <n v="3412.5"/>
        <n v="4386"/>
        <n v="10500"/>
        <n v="2975"/>
        <n v="1418.82"/>
        <n v="6300"/>
        <n v="3850"/>
        <n v="7800"/>
        <n v="18375"/>
        <n v="4950"/>
        <n v="5940"/>
        <n v="3659.04"/>
        <n v="3068.16"/>
        <n v="568.62"/>
        <n v="2800"/>
        <n v="1774.5"/>
        <n v="11500"/>
        <n v="1063.72"/>
        <n v="2669.94"/>
        <n v="1949.22"/>
        <n v="5319.6"/>
        <n v="3104.64"/>
        <n v="2842.14"/>
        <n v="1142.4000000000001"/>
        <n v="7875"/>
        <n v="6650"/>
        <n v="4159.5"/>
        <n v="2208"/>
        <n v="5197.92"/>
        <n v="12075"/>
        <n v="9400"/>
        <n v="2437.5"/>
        <n v="1599.6"/>
        <n v="1312.5"/>
        <n v="4162.32"/>
        <n v="6251.05"/>
        <n v="3323.67"/>
        <n v="3892.54"/>
        <n v="1471.86"/>
        <n v="8317.1200000000008"/>
        <n v="37375"/>
        <n v="5120.01"/>
        <n v="1506.75"/>
        <n v="2011.44"/>
        <n v="6648.32"/>
        <n v="2601"/>
        <n v="2915.5"/>
        <n v="19181.25"/>
        <n v="2682.72"/>
        <n v="5577"/>
        <n v="1837.5"/>
        <n v="565.5"/>
        <n v="5072.1000000000004"/>
        <n v="1719.12"/>
        <n v="3091.66"/>
        <n v="3781.25"/>
        <n v="5906.25"/>
        <n v="4787.2"/>
        <n v="1206.1199999999999"/>
        <n v="21262.5"/>
        <n v="19800"/>
        <n v="686.34"/>
        <n v="32906.25"/>
        <n v="264"/>
        <n v="2598.96"/>
        <n v="8844.69"/>
        <n v="7801.92"/>
        <n v="12250"/>
        <n v="12150"/>
        <n v="5400"/>
        <n v="1231.3599999999999"/>
        <n v="342.24"/>
        <n v="11550"/>
        <n v="18562.5"/>
        <n v="4223.3100000000004"/>
        <n v="357.42"/>
        <n v="2646"/>
        <n v="2990.22"/>
        <n v="583.20000000000005"/>
        <n v="4600.8"/>
        <n v="1755"/>
        <n v="2784"/>
        <n v="11400"/>
        <n v="6750"/>
        <n v="1413.72"/>
        <n v="9975"/>
        <n v="2538.9"/>
        <n v="2154.2399999999998"/>
        <n v="10400"/>
        <n v="3758.7"/>
        <n v="4500"/>
        <n v="4900"/>
        <n v="6825"/>
        <n v="6017.44"/>
        <n v="3750"/>
        <n v="1989"/>
        <n v="4054.5"/>
        <n v="3000"/>
        <n v="1643"/>
        <n v="2444"/>
        <n v="712.32"/>
        <n v="12600"/>
        <n v="1713.6"/>
        <n v="5846"/>
        <n v="6125"/>
        <n v="1846.8"/>
        <n v="631.12"/>
        <n v="2756.25"/>
        <n v="2979.06"/>
        <n v="2843.75"/>
        <n v="18500"/>
        <n v="14437.5"/>
        <n v="9100"/>
        <n v="1350"/>
        <n v="1554"/>
        <n v="448.8"/>
        <n v="27300"/>
        <n v="1058.4000000000001"/>
        <n v="2550"/>
        <n v="1306.8"/>
        <n v="2491"/>
        <n v="922.5"/>
        <n v="2067"/>
        <n v="5625"/>
        <n v="1433.19"/>
        <n v="6195"/>
        <n v="2041.2"/>
        <n v="1233.21"/>
        <n v="940.94"/>
        <n v="514.5"/>
        <n v="1102.5"/>
        <n v="8925"/>
        <n v="3250"/>
        <n v="3459.84"/>
        <n v="3055"/>
        <n v="1516.86"/>
        <n v="1852.5"/>
        <n v="592.79999999999995"/>
        <n v="2400"/>
        <n v="1129.1400000000001"/>
        <n v="1152"/>
        <n v="4773.6000000000004"/>
        <n v="2275"/>
        <n v="2062.5"/>
        <n v="3316.32"/>
        <n v="2258.2800000000002"/>
        <n v="2893.32"/>
        <n v="3188.48"/>
        <n v="2311.6799999999998"/>
        <n v="7581"/>
        <n v="675"/>
        <n v="626.4"/>
        <n v="3044.8"/>
        <n v="1806"/>
        <n v="3045.35"/>
        <n v="6562.5"/>
        <n v="1921.67"/>
        <n v="1273.17"/>
        <n v="2515.5"/>
        <n v="2072.3000000000002"/>
        <n v="3300"/>
        <n v="1605.12"/>
        <n v="4547.2"/>
        <n v="1687.32"/>
        <n v="2298.2399999999998"/>
        <n v="7150"/>
        <n v="1652.92"/>
        <n v="12375"/>
        <n v="13500"/>
        <n v="13650"/>
        <n v="3062.5"/>
        <n v="7700"/>
        <n v="15400"/>
        <n v="3621"/>
        <n v="14850"/>
        <n v="13387.5"/>
        <n v="2554.5"/>
        <n v="10106.25"/>
        <n v="878.08"/>
        <n v="926.1"/>
        <n v="2359.5"/>
        <n v="2154.6"/>
        <n v="3481.92"/>
        <n v="11375"/>
        <n v="1506.96"/>
        <n v="2056.3200000000002"/>
        <n v="1094.46"/>
        <n v="28875"/>
        <n v="2162.4"/>
        <n v="4800"/>
        <n v="2956.8"/>
        <n v="6000"/>
        <n v="1151.02"/>
        <n v="874.65"/>
        <n v="9187.5"/>
        <n v="6414.76"/>
        <n v="3876.6"/>
        <n v="4371"/>
        <n v="6144"/>
        <n v="554.58000000000004"/>
        <n v="1575"/>
        <n v="1568.16"/>
        <n v="13000"/>
        <n v="518.4"/>
        <n v="1090.5999999999999"/>
        <n v="4196.88"/>
        <n v="2910.6"/>
        <n v="2784.6"/>
        <n v="3984.66"/>
        <n v="4173.12"/>
        <n v="19550"/>
        <n v="262.5"/>
        <n v="4606"/>
        <n v="775.2"/>
        <n v="1397.76"/>
        <n v="830.76"/>
        <n v="4411.8"/>
        <n v="508.95"/>
        <n v="3264"/>
        <n v="2128"/>
        <n v="8134.4"/>
        <n v="4375"/>
        <n v="10972.5"/>
        <n v="38250"/>
        <n v="3598.56"/>
        <n v="6019.2"/>
        <n v="881.28"/>
        <n v="1646.4"/>
        <n v="4398.24"/>
        <n v="2442.96"/>
        <n v="4872.07"/>
        <n v="529.76"/>
        <n v="3854.34"/>
        <n v="2233.44"/>
        <n v="1453.5"/>
        <n v="846.72"/>
        <n v="5180"/>
        <n v="3726.06"/>
        <n v="837.2"/>
        <n v="797.12"/>
        <n v="9562.5"/>
        <n v="5932.85"/>
        <n v="6581.25"/>
        <n v="550.29"/>
        <n v="17875"/>
        <n v="1854.72"/>
        <n v="1643.95"/>
        <n v="5371.66"/>
        <n v="3500"/>
        <n v="14787.5"/>
        <n v="5000"/>
        <n v="3136"/>
        <n v="2401.1999999999998"/>
        <n v="3814.2"/>
        <n v="528"/>
        <n v="13750"/>
        <n v="2531.25"/>
        <n v="2700"/>
        <n v="17212.5"/>
        <n v="4830"/>
        <n v="10312.5"/>
        <n v="5500"/>
        <n v="793.26"/>
        <n v="2690.28"/>
        <n v="1242"/>
        <n v="933.8"/>
        <n v="607.5"/>
        <n v="722.4"/>
        <n v="1656.48"/>
        <n v="3326.4"/>
        <n v="5943.42"/>
        <n v="4725"/>
        <n v="3696"/>
        <n v="3528.2"/>
        <n v="9300"/>
        <n v="1475.1"/>
        <n v="2426.9699999999998"/>
        <n v="1077.1199999999999"/>
        <n v="9957.64"/>
        <n v="3283.38"/>
        <n v="3710"/>
        <n v="20312.5"/>
        <n v="936"/>
        <n v="795.6"/>
        <n v="1323.54"/>
        <n v="4050"/>
        <n v="1040.4000000000001"/>
        <n v="3937.5"/>
        <n v="8225"/>
        <n v="1432.6"/>
        <n v="1021.31"/>
        <n v="8000"/>
        <n v="2228.65"/>
        <n v="3095.04"/>
        <n v="9185.2800000000007"/>
        <n v="8736"/>
        <n v="2822.4"/>
        <n v="1400"/>
        <n v="3272.28"/>
        <n v="4125"/>
        <n v="13800"/>
        <n v="2750"/>
        <n v="12512.5"/>
        <n v="1912.68"/>
        <n v="967.26"/>
        <n v="1730.56"/>
        <n v="1244.1600000000001"/>
        <n v="4778.55"/>
        <n v="231"/>
        <n v="2851.2"/>
        <n v="1291.5"/>
        <n v="15525"/>
        <n v="1054.17"/>
        <n v="1198.8"/>
        <n v="5755.62"/>
        <n v="1200"/>
        <n v="2508.8000000000002"/>
        <n v="1143.08"/>
        <n v="760"/>
        <n v="7481.25"/>
        <n v="2523.4"/>
        <n v="875"/>
        <n v="3243.92"/>
        <n v="2307.36"/>
        <n v="2151"/>
        <n v="1500"/>
        <n v="3202.64"/>
        <n v="4030.25"/>
        <n v="2117.92"/>
        <n v="3229.2"/>
        <n v="2203.1999999999998"/>
        <n v="6334.18"/>
        <n v="1139.28"/>
        <n v="2546.1"/>
        <n v="2697.3"/>
        <n v="4179.5600000000004"/>
        <n v="2279.1999999999998"/>
        <n v="724.5"/>
        <n v="1529.58"/>
        <n v="6250"/>
      </sharedItems>
    </cacheField>
    <cacheField name="Operating Margin" numFmtId="166">
      <sharedItems containsSemiMixedTypes="0" containsString="0" containsNumber="1" minValue="0.15" maxValue="0.79000000000000015" count="58">
        <n v="0.42"/>
        <n v="0.4"/>
        <n v="0.47"/>
        <n v="0.3"/>
        <n v="0.46"/>
        <n v="0.39"/>
        <n v="0.28000000000000003"/>
        <n v="0.31"/>
        <n v="0.55000000000000004"/>
        <n v="0.51"/>
        <n v="0.48"/>
        <n v="0.41"/>
        <n v="0.5"/>
        <n v="0.35"/>
        <n v="0.64"/>
        <n v="0.54"/>
        <n v="0.54999999999999993"/>
        <n v="0.44"/>
        <n v="0.49999999999999989"/>
        <n v="0.49"/>
        <n v="0.63"/>
        <n v="0.42999999999999988"/>
        <n v="0.62"/>
        <n v="0.56000000000000005"/>
        <n v="0.53"/>
        <n v="0.25"/>
        <n v="0.45"/>
        <n v="0.43"/>
        <n v="0.38"/>
        <n v="0.34"/>
        <n v="0.36"/>
        <n v="0.66000000000000014"/>
        <n v="0.61"/>
        <n v="0.33"/>
        <n v="0.2"/>
        <n v="0.32"/>
        <n v="0.28999999999999998"/>
        <n v="0.21"/>
        <n v="0.59000000000000008"/>
        <n v="0.15"/>
        <n v="0.65"/>
        <n v="0.37"/>
        <n v="0.79000000000000015"/>
        <n v="0.58000000000000007"/>
        <n v="0.52"/>
        <n v="0.57000000000000006"/>
        <n v="0.26"/>
        <n v="0.44000000000000011"/>
        <n v="0.18"/>
        <n v="0.6"/>
        <n v="0.60000000000000009"/>
        <n v="0.6100000000000001"/>
        <n v="0.54000000000000015"/>
        <n v="0.69000000000000006"/>
        <n v="0.65000000000000013"/>
        <n v="0.27"/>
        <n v="0.70000000000000007"/>
        <n v="0.67"/>
      </sharedItems>
    </cacheField>
    <cacheField name="Sales Method" numFmtId="0">
      <sharedItems/>
    </cacheField>
  </cacheFields>
  <extLst>
    <ext xmlns:x14="http://schemas.microsoft.com/office/spreadsheetml/2009/9/main" uri="{725AE2AE-9491-48be-B2B4-4EB974FC3084}">
      <x14:pivotCacheDefinition pivotCacheId="76684357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64.562190393517" createdVersion="8" refreshedVersion="8" minRefreshableVersion="3" recordCount="501" xr:uid="{41E8A32F-D4A6-45D6-A0AF-D13ECC806D37}">
  <cacheSource type="worksheet">
    <worksheetSource ref="A1:M1048576" sheet="Adidas Sales Sample"/>
  </cacheSource>
  <cacheFields count="13">
    <cacheField name="Retailer" numFmtId="167">
      <sharedItems containsBlank="1" count="7">
        <s v="West Gear"/>
        <s v="Amazon"/>
        <s v="Sports Direct"/>
        <s v="Foot Locker"/>
        <s v="Walmart"/>
        <s v="Kohl's"/>
        <m/>
      </sharedItems>
    </cacheField>
    <cacheField name="Retailer ID" numFmtId="167">
      <sharedItems containsString="0" containsBlank="1" containsNumber="1" containsInteger="1" minValue="1001" maxValue="1006"/>
    </cacheField>
    <cacheField name="Invoice Date" numFmtId="167">
      <sharedItems containsString="0" containsBlank="1" containsNumber="1" containsInteger="1" minValue="43832" maxValue="44555" count="287">
        <n v="44238"/>
        <n v="44369"/>
        <n v="44271"/>
        <n v="44540"/>
        <n v="44512"/>
        <n v="44231"/>
        <n v="44386"/>
        <n v="44330"/>
        <n v="44524"/>
        <n v="44278"/>
        <n v="44481"/>
        <n v="43953"/>
        <n v="44457"/>
        <n v="44454"/>
        <n v="44328"/>
        <n v="44538"/>
        <n v="44549"/>
        <n v="44331"/>
        <n v="44536"/>
        <n v="44263"/>
        <n v="44036"/>
        <n v="44428"/>
        <n v="44458"/>
        <n v="44519"/>
        <n v="44209"/>
        <n v="44477"/>
        <n v="43883"/>
        <n v="44517"/>
        <n v="44476"/>
        <n v="44473"/>
        <n v="44394"/>
        <n v="44356"/>
        <n v="44371"/>
        <n v="44502"/>
        <n v="44196"/>
        <n v="44072"/>
        <n v="44303"/>
        <n v="44413"/>
        <n v="44518"/>
        <n v="43939"/>
        <n v="44467"/>
        <n v="44235"/>
        <n v="44491"/>
        <n v="44300"/>
        <n v="43859"/>
        <n v="44449"/>
        <n v="43874"/>
        <n v="44362"/>
        <n v="44466"/>
        <n v="43907"/>
        <n v="44366"/>
        <n v="44322"/>
        <n v="43954"/>
        <n v="44298"/>
        <n v="44289"/>
        <n v="44432"/>
        <n v="44521"/>
        <n v="44397"/>
        <n v="44417"/>
        <n v="43839"/>
        <n v="43935"/>
        <n v="44133"/>
        <n v="44220"/>
        <n v="44455"/>
        <n v="44364"/>
        <n v="44421"/>
        <n v="44242"/>
        <n v="44522"/>
        <n v="43854"/>
        <n v="44520"/>
        <n v="44547"/>
        <n v="44041"/>
        <n v="44351"/>
        <n v="44083"/>
        <n v="44419"/>
        <n v="44505"/>
        <n v="44354"/>
        <n v="44329"/>
        <n v="44426"/>
        <n v="44264"/>
        <n v="44270"/>
        <n v="44425"/>
        <n v="44207"/>
        <n v="44051"/>
        <n v="44475"/>
        <n v="44510"/>
        <n v="44189"/>
        <n v="43877"/>
        <n v="44480"/>
        <n v="44441"/>
        <n v="44048"/>
        <n v="44355"/>
        <n v="44490"/>
        <n v="44334"/>
        <n v="43832"/>
        <n v="44451"/>
        <n v="44535"/>
        <n v="44265"/>
        <n v="43941"/>
        <n v="44079"/>
        <n v="44008"/>
        <n v="44193"/>
        <n v="44445"/>
        <n v="44418"/>
        <n v="44511"/>
        <n v="44240"/>
        <n v="44543"/>
        <n v="44237"/>
        <n v="44272"/>
        <n v="44027"/>
        <n v="44343"/>
        <n v="44357"/>
        <n v="43872"/>
        <n v="44206"/>
        <n v="44461"/>
        <n v="44546"/>
        <n v="44336"/>
        <n v="44479"/>
        <n v="44333"/>
        <n v="44290"/>
        <n v="44545"/>
        <n v="44474"/>
        <n v="44462"/>
        <n v="43948"/>
        <n v="44125"/>
        <n v="44195"/>
        <n v="44312"/>
        <n v="44388"/>
        <n v="44389"/>
        <n v="44308"/>
        <n v="44345"/>
        <n v="44275"/>
        <n v="44260"/>
        <n v="44327"/>
        <n v="44523"/>
        <n v="43995"/>
        <n v="43993"/>
        <n v="44049"/>
        <n v="44277"/>
        <n v="44414"/>
        <n v="44293"/>
        <n v="44358"/>
        <n v="44218"/>
        <n v="44393"/>
        <n v="44444"/>
        <n v="44223"/>
        <n v="43910"/>
        <n v="44172"/>
        <n v="44526"/>
        <n v="44201"/>
        <n v="44401"/>
        <n v="44299"/>
        <n v="44335"/>
        <n v="44295"/>
        <n v="44483"/>
        <n v="43844"/>
        <n v="44284"/>
        <n v="44553"/>
        <n v="44541"/>
        <n v="44492"/>
        <n v="44437"/>
        <n v="44232"/>
        <n v="44509"/>
        <n v="44268"/>
        <n v="44233"/>
        <n v="44261"/>
        <n v="44431"/>
        <n v="43945"/>
        <n v="44374"/>
        <n v="43904"/>
        <n v="44507"/>
        <n v="44297"/>
        <n v="44254"/>
        <n v="44383"/>
        <n v="44551"/>
        <n v="43956"/>
        <n v="44532"/>
        <n v="44287"/>
        <n v="44513"/>
        <n v="44368"/>
        <n v="44304"/>
        <n v="44487"/>
        <n v="43895"/>
        <n v="44443"/>
        <n v="44274"/>
        <n v="44415"/>
        <n v="44550"/>
        <n v="44555"/>
        <n v="44332"/>
        <n v="44390"/>
        <n v="44194"/>
        <n v="44066"/>
        <n v="44548"/>
        <n v="44205"/>
        <n v="44396"/>
        <n v="44319"/>
        <n v="44365"/>
        <n v="43962"/>
        <n v="44340"/>
        <n v="44245"/>
        <n v="44482"/>
        <n v="44385"/>
        <n v="44244"/>
        <n v="44208"/>
        <n v="44450"/>
        <n v="44075"/>
        <n v="44399"/>
        <n v="44050"/>
        <n v="44326"/>
        <n v="44307"/>
        <n v="44338"/>
        <n v="44155"/>
        <n v="44292"/>
        <n v="44380"/>
        <n v="43964"/>
        <n v="44341"/>
        <n v="44514"/>
        <n v="44250"/>
        <n v="44310"/>
        <n v="44043"/>
        <n v="44416"/>
        <n v="43937"/>
        <n v="44306"/>
        <n v="44241"/>
        <n v="44382"/>
        <n v="44249"/>
        <n v="44387"/>
        <n v="44213"/>
        <n v="44359"/>
        <n v="44257"/>
        <n v="43871"/>
        <n v="44251"/>
        <n v="44542"/>
        <n v="43900"/>
        <n v="43903"/>
        <n v="44131"/>
        <n v="44495"/>
        <n v="44453"/>
        <n v="44493"/>
        <n v="43934"/>
        <n v="44506"/>
        <n v="43868"/>
        <n v="44126"/>
        <n v="44486"/>
        <n v="43943"/>
        <n v="44210"/>
        <n v="44248"/>
        <n v="44239"/>
        <n v="44348"/>
        <n v="43990"/>
        <n v="44301"/>
        <n v="44412"/>
        <n v="44420"/>
        <n v="44246"/>
        <n v="44423"/>
        <n v="44202"/>
        <n v="44407"/>
        <n v="43901"/>
        <n v="44005"/>
        <n v="44408"/>
        <n v="44411"/>
        <n v="44316"/>
        <n v="44324"/>
        <n v="44302"/>
        <n v="44219"/>
        <n v="43922"/>
        <n v="44267"/>
        <n v="44063"/>
        <n v="44138"/>
        <n v="44059"/>
        <n v="44222"/>
        <n v="44236"/>
        <n v="44422"/>
        <n v="44273"/>
        <n v="44074"/>
        <n v="44539"/>
        <n v="44448"/>
        <n v="44176"/>
        <n v="44309"/>
        <n v="44402"/>
        <n v="44296"/>
        <n v="44291"/>
        <n v="44143"/>
        <n v="44199"/>
        <n v="43888"/>
        <n v="44211"/>
        <m/>
      </sharedItems>
    </cacheField>
    <cacheField name="Region" numFmtId="167">
      <sharedItems containsBlank="1" count="6">
        <s v="West"/>
        <s v="Southeast"/>
        <s v="Northeast"/>
        <s v="Midwest"/>
        <s v="South"/>
        <m/>
      </sharedItems>
    </cacheField>
    <cacheField name="State" numFmtId="167">
      <sharedItems containsBlank="1"/>
    </cacheField>
    <cacheField name="City" numFmtId="167">
      <sharedItems containsBlank="1"/>
    </cacheField>
    <cacheField name="Product" numFmtId="167">
      <sharedItems containsBlank="1" count="7">
        <s v="Women's Athletic Footwear"/>
        <s v="Men's Street Footwear"/>
        <s v="Women's Apparel"/>
        <s v="Men's Athletic Footwear"/>
        <s v="Men's Apparel"/>
        <s v="Women's Street Footwear"/>
        <m/>
      </sharedItems>
    </cacheField>
    <cacheField name="Price per Unit" numFmtId="167">
      <sharedItems containsString="0" containsBlank="1" containsNumber="1" containsInteger="1" minValue="7" maxValue="110" count="66">
        <n v="16"/>
        <n v="40"/>
        <n v="48"/>
        <n v="60"/>
        <n v="45"/>
        <n v="23"/>
        <n v="33"/>
        <n v="55"/>
        <n v="36"/>
        <n v="38"/>
        <n v="27"/>
        <n v="53"/>
        <n v="64"/>
        <n v="42"/>
        <n v="41"/>
        <n v="39"/>
        <n v="47"/>
        <n v="50"/>
        <n v="34"/>
        <n v="59"/>
        <n v="58"/>
        <n v="51"/>
        <n v="35"/>
        <n v="52"/>
        <n v="37"/>
        <n v="80"/>
        <n v="46"/>
        <n v="29"/>
        <n v="43"/>
        <n v="65"/>
        <n v="14"/>
        <n v="18"/>
        <n v="69"/>
        <n v="32"/>
        <n v="49"/>
        <n v="54"/>
        <n v="82"/>
        <n v="85"/>
        <n v="26"/>
        <n v="30"/>
        <n v="62"/>
        <n v="28"/>
        <n v="86"/>
        <n v="20"/>
        <n v="67"/>
        <n v="70"/>
        <n v="56"/>
        <n v="68"/>
        <n v="44"/>
        <n v="24"/>
        <n v="7"/>
        <n v="71"/>
        <n v="31"/>
        <n v="25"/>
        <n v="74"/>
        <n v="10"/>
        <n v="75"/>
        <n v="19"/>
        <n v="72"/>
        <n v="110"/>
        <n v="13"/>
        <n v="15"/>
        <n v="61"/>
        <n v="17"/>
        <n v="66"/>
        <m/>
      </sharedItems>
    </cacheField>
    <cacheField name="Units Sold" numFmtId="167">
      <sharedItems containsString="0" containsBlank="1" containsNumber="1" containsInteger="1" minValue="15" maxValue="1275" count="185">
        <n v="93"/>
        <n v="525"/>
        <n v="131"/>
        <n v="145"/>
        <n v="250"/>
        <n v="163"/>
        <n v="56"/>
        <n v="400"/>
        <n v="144"/>
        <n v="78"/>
        <n v="140"/>
        <n v="322"/>
        <n v="74"/>
        <n v="280"/>
        <n v="63"/>
        <n v="77"/>
        <n v="54"/>
        <n v="200"/>
        <n v="500"/>
        <n v="65"/>
        <n v="550"/>
        <n v="203"/>
        <n v="210"/>
        <n v="173"/>
        <n v="31"/>
        <n v="117"/>
        <n v="38"/>
        <n v="112"/>
        <n v="775"/>
        <n v="196"/>
        <n v="375"/>
        <n v="60"/>
        <n v="225"/>
        <n v="75"/>
        <n v="325"/>
        <n v="293"/>
        <n v="88"/>
        <n v="355"/>
        <n v="181"/>
        <n v="175"/>
        <n v="150"/>
        <n v="41"/>
        <n v="105"/>
        <n v="96"/>
        <n v="700"/>
        <n v="308"/>
        <n v="420"/>
        <n v="83"/>
        <n v="600"/>
        <n v="122"/>
        <n v="73"/>
        <n v="300"/>
        <n v="625"/>
        <n v="425"/>
        <n v="174"/>
        <n v="84"/>
        <n v="189"/>
        <n v="116"/>
        <n v="108"/>
        <n v="161"/>
        <n v="126"/>
        <n v="68"/>
        <n v="72"/>
        <n v="1000"/>
        <n v="166"/>
        <n v="275"/>
        <n v="475"/>
        <n v="115"/>
        <n v="158"/>
        <n v="206"/>
        <n v="149"/>
        <n v="1050"/>
        <n v="495"/>
        <n v="120"/>
        <n v="216"/>
        <n v="231"/>
        <n v="875"/>
        <n v="575"/>
        <n v="51"/>
        <n v="124"/>
        <n v="107"/>
        <n v="450"/>
        <n v="350"/>
        <n v="650"/>
        <n v="270"/>
        <n v="264"/>
        <n v="188"/>
        <n v="27"/>
        <n v="91"/>
        <n v="98"/>
        <n v="248"/>
        <n v="147"/>
        <n v="202"/>
        <n v="138"/>
        <n v="208"/>
        <n v="470"/>
        <n v="125"/>
        <n v="133"/>
        <n v="1150"/>
        <n v="243"/>
        <n v="119"/>
        <n v="81"/>
        <n v="156"/>
        <n v="39"/>
        <n v="265"/>
        <n v="87"/>
        <n v="143"/>
        <n v="160"/>
        <n v="46"/>
        <n v="1125"/>
        <n v="15"/>
        <n v="182"/>
        <n v="263"/>
        <n v="168"/>
        <n v="675"/>
        <n v="128"/>
        <n v="825"/>
        <n v="169"/>
        <n v="111"/>
        <n v="180"/>
        <n v="176"/>
        <n v="201"/>
        <n v="94"/>
        <n v="28"/>
        <n v="170"/>
        <n v="162"/>
        <n v="925"/>
        <n v="100"/>
        <n v="975"/>
        <n v="85"/>
        <n v="50"/>
        <n v="101"/>
        <n v="106"/>
        <n v="195"/>
        <n v="306"/>
        <n v="102"/>
        <n v="171"/>
        <n v="29"/>
        <n v="113"/>
        <n v="109"/>
        <n v="114"/>
        <n v="1100"/>
        <n v="142"/>
        <n v="850"/>
        <n v="45"/>
        <n v="136"/>
        <n v="750"/>
        <n v="233"/>
        <n v="35"/>
        <n v="239"/>
        <n v="79"/>
        <n v="800"/>
        <n v="70"/>
        <n v="134"/>
        <n v="135"/>
        <n v="157"/>
        <n v="276"/>
        <n v="25"/>
        <n v="215"/>
        <n v="570"/>
        <n v="1275"/>
        <n v="285"/>
        <n v="44"/>
        <n v="259"/>
        <n v="281"/>
        <n v="47"/>
        <n v="61"/>
        <n v="238"/>
        <n v="224"/>
        <n v="33"/>
        <n v="69"/>
        <n v="42"/>
        <n v="267"/>
        <n v="127"/>
        <n v="95"/>
        <n v="53"/>
        <n v="21"/>
        <n v="49"/>
        <n v="22"/>
        <n v="80"/>
        <n v="314"/>
        <n v="155"/>
        <n v="184"/>
        <n v="152"/>
        <m/>
      </sharedItems>
    </cacheField>
    <cacheField name="Total Sales" numFmtId="167">
      <sharedItems containsString="0" containsBlank="1" containsNumber="1" containsInteger="1" minValue="550" maxValue="82500" count="398">
        <n v="1488"/>
        <n v="21000"/>
        <n v="6288"/>
        <n v="8700"/>
        <n v="11250"/>
        <n v="3749"/>
        <n v="1848"/>
        <n v="22000"/>
        <n v="5184"/>
        <n v="2964"/>
        <n v="3780"/>
        <n v="17066"/>
        <n v="4736"/>
        <n v="11760"/>
        <n v="2583"/>
        <n v="3003"/>
        <n v="2538"/>
        <n v="11000"/>
        <n v="25000"/>
        <n v="3120"/>
        <n v="24750"/>
        <n v="6902"/>
        <n v="11550"/>
        <n v="6228"/>
        <n v="1829"/>
        <n v="4212"/>
        <n v="2204"/>
        <n v="6496"/>
        <n v="46500"/>
        <n v="6468"/>
        <n v="15000"/>
        <n v="1620"/>
        <n v="11475"/>
        <n v="2625"/>
        <n v="14625"/>
        <n v="13771"/>
        <n v="4576"/>
        <n v="3256"/>
        <n v="32000"/>
        <n v="17040"/>
        <n v="9593"/>
        <n v="7875"/>
        <n v="8250"/>
        <n v="2576"/>
        <n v="1189"/>
        <n v="3478"/>
        <n v="4935"/>
        <n v="4128"/>
        <n v="6000"/>
        <n v="45500"/>
        <n v="2700"/>
        <n v="16324"/>
        <n v="10125"/>
        <n v="2091"/>
        <n v="8750"/>
        <n v="20160"/>
        <n v="1162"/>
        <n v="24000"/>
        <n v="2196"/>
        <n v="5037"/>
        <n v="19500"/>
        <n v="2220"/>
        <n v="34375"/>
        <n v="19125"/>
        <n v="5568"/>
        <n v="4116"/>
        <n v="10206"/>
        <n v="4524"/>
        <n v="3132"/>
        <n v="13202"/>
        <n v="7560"/>
        <n v="2176"/>
        <n v="2808"/>
        <n v="50000"/>
        <n v="2656"/>
        <n v="15125"/>
        <n v="16625"/>
        <n v="3536"/>
        <n v="9775"/>
        <n v="6794"/>
        <n v="7416"/>
        <n v="2584"/>
        <n v="6109"/>
        <n v="57750"/>
        <n v="29700"/>
        <n v="14250"/>
        <n v="7344"/>
        <n v="14322"/>
        <n v="70000"/>
        <n v="25875"/>
        <n v="1887"/>
        <n v="7936"/>
        <n v="16000"/>
        <n v="4564"/>
        <n v="11375"/>
        <n v="12900"/>
        <n v="30000"/>
        <n v="8500"/>
        <n v="4173"/>
        <n v="15750"/>
        <n v="19250"/>
        <n v="52500"/>
        <n v="12375"/>
        <n v="13500"/>
        <n v="8712"/>
        <n v="9024"/>
        <n v="1053"/>
        <n v="8000"/>
        <n v="4550"/>
        <n v="28750"/>
        <n v="3668"/>
        <n v="6846"/>
        <n v="4998"/>
        <n v="9672"/>
        <n v="9408"/>
        <n v="13534"/>
        <n v="3360"/>
        <n v="31500"/>
        <n v="7050"/>
        <n v="4416"/>
        <n v="10192"/>
        <n v="34500"/>
        <n v="23500"/>
        <n v="16250"/>
        <n v="3720"/>
        <n v="4375"/>
        <n v="10152"/>
        <n v="9617"/>
        <n v="6783"/>
        <n v="9494"/>
        <n v="3978"/>
        <n v="10528"/>
        <n v="26250"/>
        <n v="74750"/>
        <n v="10449"/>
        <n v="3075"/>
        <n v="56000"/>
        <n v="7000"/>
        <n v="3944"/>
        <n v="12544"/>
        <n v="5100"/>
        <n v="5831"/>
        <n v="42625"/>
        <n v="5589"/>
        <n v="8580"/>
        <n v="6125"/>
        <n v="1131"/>
        <n v="8745"/>
        <n v="3306"/>
        <n v="6578"/>
        <n v="16875"/>
        <n v="10880"/>
        <n v="3174"/>
        <n v="47250"/>
        <n v="36000"/>
        <n v="1674"/>
        <n v="73125"/>
        <n v="660"/>
        <n v="5096"/>
        <n v="15517"/>
        <n v="14448"/>
        <n v="35000"/>
        <n v="27000"/>
        <n v="9000"/>
        <n v="744"/>
        <n v="33000"/>
        <n v="37125"/>
        <n v="8281"/>
        <n v="777"/>
        <n v="6300"/>
        <n v="5246"/>
        <n v="1296"/>
        <n v="12780"/>
        <n v="4500"/>
        <n v="38000"/>
        <n v="3213"/>
        <n v="31250"/>
        <n v="28500"/>
        <n v="5642"/>
        <n v="4224"/>
        <n v="26000"/>
        <n v="11055"/>
        <n v="18000"/>
        <n v="14000"/>
        <n v="13676"/>
        <n v="12500"/>
        <n v="3900"/>
        <n v="7650"/>
        <n v="3100"/>
        <n v="6110"/>
        <n v="1344"/>
        <n v="9520"/>
        <n v="11692"/>
        <n v="10500"/>
        <n v="24500"/>
        <n v="4860"/>
        <n v="1372"/>
        <n v="7266"/>
        <n v="8125"/>
        <n v="46250"/>
        <n v="3700"/>
        <n v="880"/>
        <n v="68250"/>
        <n v="2352"/>
        <n v="4250"/>
        <n v="2904"/>
        <n v="4982"/>
        <n v="2050"/>
        <n v="37500"/>
        <n v="3333"/>
        <n v="10325"/>
        <n v="4536"/>
        <n v="2002"/>
        <n v="1050"/>
        <n v="25500"/>
        <n v="6784"/>
        <n v="4700"/>
        <n v="2862"/>
        <n v="3705"/>
        <n v="1140"/>
        <n v="2754"/>
        <n v="3600"/>
        <n v="18360"/>
        <n v="6500"/>
        <n v="7056"/>
        <n v="4182"/>
        <n v="8037"/>
        <n v="5504"/>
        <n v="13300"/>
        <n v="2250"/>
        <n v="1392"/>
        <n v="5536"/>
        <n v="4200"/>
        <n v="6215"/>
        <n v="4687"/>
        <n v="3441"/>
        <n v="5031"/>
        <n v="4505"/>
        <n v="3648"/>
        <n v="9280"/>
        <n v="4256"/>
        <n v="17875"/>
        <n v="3844"/>
        <n v="27500"/>
        <n v="33750"/>
        <n v="39000"/>
        <n v="38500"/>
        <n v="44000"/>
        <n v="7100"/>
        <n v="38250"/>
        <n v="5109"/>
        <n v="28875"/>
        <n v="1792"/>
        <n v="2205"/>
        <n v="4719"/>
        <n v="4788"/>
        <n v="3808"/>
        <n v="11232"/>
        <n v="32500"/>
        <n v="2898"/>
        <n v="3219"/>
        <n v="82500"/>
        <n v="4080"/>
        <n v="12000"/>
        <n v="11025"/>
        <n v="7040"/>
        <n v="3029"/>
        <n v="1715"/>
        <n v="10516"/>
        <n v="5964"/>
        <n v="9300"/>
        <n v="9600"/>
        <n v="1422"/>
        <n v="3564"/>
        <n v="52000"/>
        <n v="1728"/>
        <n v="2660"/>
        <n v="7772"/>
        <n v="6615"/>
        <n v="5460"/>
        <n v="8478"/>
        <n v="7728"/>
        <n v="48875"/>
        <n v="750"/>
        <n v="13160"/>
        <n v="2040"/>
        <n v="2912"/>
        <n v="1978"/>
        <n v="11610"/>
        <n v="6528"/>
        <n v="19840"/>
        <n v="31350"/>
        <n v="76500"/>
        <n v="6664"/>
        <n v="12540"/>
        <n v="3920"/>
        <n v="8624"/>
        <n v="9943"/>
        <n v="1232"/>
        <n v="5586"/>
        <n v="4136"/>
        <n v="3825"/>
        <n v="2016"/>
        <n v="12950"/>
        <n v="9554"/>
        <n v="1820"/>
        <n v="1504"/>
        <n v="5250"/>
        <n v="10787"/>
        <n v="1411"/>
        <n v="3864"/>
        <n v="2989"/>
        <n v="8806"/>
        <n v="22750"/>
        <n v="5600"/>
        <n v="6670"/>
        <n v="7335"/>
        <n v="1056"/>
        <n v="3276"/>
        <n v="9660"/>
        <n v="13750"/>
        <n v="2938"/>
        <n v="5076"/>
        <n v="2484"/>
        <n v="2030"/>
        <n v="1350"/>
        <n v="1806"/>
        <n v="3248"/>
        <n v="6160"/>
        <n v="14151"/>
        <n v="19000"/>
        <n v="8800"/>
        <n v="6785"/>
        <n v="23250"/>
        <n v="13000"/>
        <n v="2682"/>
        <n v="4953"/>
        <n v="2448"/>
        <n v="18788"/>
        <n v="6438"/>
        <n v="5300"/>
        <n v="40625"/>
        <n v="2340"/>
        <n v="3078"/>
        <n v="2890"/>
        <n v="4940"/>
        <n v="2173"/>
        <n v="20000"/>
        <n v="7500"/>
        <n v="4205"/>
        <n v="62000"/>
        <n v="6448"/>
        <n v="13312"/>
        <n v="15600"/>
        <n v="3500"/>
        <n v="8844"/>
        <n v="6875"/>
        <n v="35750"/>
        <n v="1029"/>
        <n v="5313"/>
        <n v="2058"/>
        <n v="6656"/>
        <n v="2592"/>
        <n v="10619"/>
        <n v="550"/>
        <n v="10000"/>
        <n v="2025"/>
        <n v="5280"/>
        <n v="1989"/>
        <n v="3240"/>
        <n v="12246"/>
        <n v="4000"/>
        <n v="7840"/>
        <n v="2788"/>
        <n v="1900"/>
        <n v="21375"/>
        <n v="6820"/>
        <n v="2500"/>
        <n v="7912"/>
        <n v="4048"/>
        <n v="8604"/>
        <n v="5000"/>
        <n v="6536"/>
        <n v="8575"/>
        <n v="3472"/>
        <n v="7020"/>
        <n v="4896"/>
        <n v="22500"/>
        <n v="9454"/>
        <n v="2424"/>
        <n v="4715"/>
        <n v="4995"/>
        <n v="7084"/>
        <n v="4144"/>
        <n v="1610"/>
        <n v="2886"/>
        <n v="15625"/>
        <m/>
      </sharedItems>
    </cacheField>
    <cacheField name="Operating Profit" numFmtId="167">
      <sharedItems containsString="0" containsBlank="1" containsNumber="1" minValue="231" maxValue="38250" count="442">
        <n v="624.96"/>
        <n v="8400"/>
        <n v="2955.36"/>
        <n v="4089"/>
        <n v="3375"/>
        <n v="1499.6"/>
        <n v="850.08"/>
        <n v="8800"/>
        <n v="2021.76"/>
        <n v="1155.96"/>
        <n v="1474.2"/>
        <n v="4778.4799999999996"/>
        <n v="1468.16"/>
        <n v="6468"/>
        <n v="1317.33"/>
        <n v="1441.44"/>
        <n v="1040.58"/>
        <n v="4620"/>
        <n v="10000"/>
        <n v="1560"/>
        <n v="8662.5"/>
        <n v="4417.28"/>
        <n v="6237"/>
        <n v="3425.4"/>
        <n v="768.18"/>
        <n v="1642.68"/>
        <n v="903.64"/>
        <n v="2858.24"/>
        <n v="23250"/>
        <n v="2975.28"/>
        <n v="5250"/>
        <n v="648"/>
        <n v="5622.75"/>
        <n v="787.5"/>
        <n v="5850"/>
        <n v="8675.73"/>
        <n v="2288"/>
        <n v="1562.88"/>
        <n v="11200"/>
        <n v="5112"/>
        <n v="5276.15"/>
        <n v="2362.5"/>
        <n v="2887.5"/>
        <n v="1262.24"/>
        <n v="416.15"/>
        <n v="1773.78"/>
        <n v="2270.1"/>
        <n v="1775.04"/>
        <n v="2100"/>
        <n v="18200"/>
        <n v="837"/>
        <n v="25575"/>
        <n v="6692.84"/>
        <n v="3543.75"/>
        <n v="1296.42"/>
        <n v="2625"/>
        <n v="11289.6"/>
        <n v="615.86"/>
        <n v="12000"/>
        <n v="900.36"/>
        <n v="2216.2800000000002"/>
        <n v="4875"/>
        <n v="1087.8"/>
        <n v="8593.75"/>
        <n v="4781.25"/>
        <n v="2338.56"/>
        <n v="3150"/>
        <n v="2058"/>
        <n v="6531.84"/>
        <n v="2262"/>
        <n v="1895.4"/>
        <n v="1503.36"/>
        <n v="1811.16"/>
        <n v="7261.1"/>
        <n v="3628.8"/>
        <n v="826.88"/>
        <n v="1319.76"/>
        <n v="12500"/>
        <n v="1168.6400000000001"/>
        <n v="5293.75"/>
        <n v="5818.75"/>
        <n v="1768"/>
        <n v="3910"/>
        <n v="2309.96"/>
        <n v="2669.76"/>
        <n v="1240.32"/>
        <n v="2321.42"/>
        <n v="25987.5"/>
        <n v="10395"/>
        <n v="2059.1999999999998"/>
        <n v="7125"/>
        <n v="4479.84"/>
        <n v="4726.26"/>
        <n v="14000"/>
        <n v="3174.92"/>
        <n v="10350"/>
        <n v="603.84"/>
        <n v="3037.5"/>
        <n v="3729.92"/>
        <n v="5600"/>
        <n v="2464.56"/>
        <n v="3412.5"/>
        <n v="4386"/>
        <n v="10500"/>
        <n v="2975"/>
        <n v="1418.82"/>
        <n v="6300"/>
        <n v="3850"/>
        <n v="7800"/>
        <n v="18375"/>
        <n v="4950"/>
        <n v="5940"/>
        <n v="3659.04"/>
        <n v="3068.16"/>
        <n v="568.62"/>
        <n v="2800"/>
        <n v="1774.5"/>
        <n v="11500"/>
        <n v="1063.72"/>
        <n v="2669.94"/>
        <n v="1949.22"/>
        <n v="5319.6"/>
        <n v="3104.64"/>
        <n v="2842.14"/>
        <n v="1142.4000000000001"/>
        <n v="7875"/>
        <n v="6650"/>
        <n v="4159.5"/>
        <n v="2208"/>
        <n v="5197.92"/>
        <n v="12075"/>
        <n v="9400"/>
        <n v="2437.5"/>
        <n v="1599.6"/>
        <n v="1312.5"/>
        <n v="4162.32"/>
        <n v="6251.05"/>
        <n v="3323.67"/>
        <n v="3892.54"/>
        <n v="1471.86"/>
        <n v="8317.1200000000008"/>
        <n v="37375"/>
        <n v="5120.01"/>
        <n v="1506.75"/>
        <n v="2011.44"/>
        <n v="6648.32"/>
        <n v="2601"/>
        <n v="2915.5"/>
        <n v="19181.25"/>
        <n v="2682.72"/>
        <n v="5577"/>
        <n v="1837.5"/>
        <n v="565.5"/>
        <n v="5072.1000000000004"/>
        <n v="1719.12"/>
        <n v="3091.66"/>
        <n v="3781.25"/>
        <n v="5906.25"/>
        <n v="4787.2"/>
        <n v="1206.1199999999999"/>
        <n v="21262.5"/>
        <n v="19800"/>
        <n v="686.34"/>
        <n v="32906.25"/>
        <n v="264"/>
        <n v="2598.96"/>
        <n v="8844.69"/>
        <n v="7801.92"/>
        <n v="12250"/>
        <n v="12150"/>
        <n v="5400"/>
        <n v="1231.3599999999999"/>
        <n v="342.24"/>
        <n v="11550"/>
        <n v="18562.5"/>
        <n v="4223.3100000000004"/>
        <n v="357.42"/>
        <n v="2646"/>
        <n v="2990.22"/>
        <n v="583.20000000000005"/>
        <n v="4600.8"/>
        <n v="1755"/>
        <n v="2784"/>
        <n v="11400"/>
        <n v="6750"/>
        <n v="1413.72"/>
        <n v="9975"/>
        <n v="2538.9"/>
        <n v="2154.2399999999998"/>
        <n v="10400"/>
        <n v="3758.7"/>
        <n v="4500"/>
        <n v="4900"/>
        <n v="6825"/>
        <n v="6017.44"/>
        <n v="3750"/>
        <n v="1989"/>
        <n v="4054.5"/>
        <n v="3000"/>
        <n v="1643"/>
        <n v="2444"/>
        <n v="712.32"/>
        <n v="12600"/>
        <n v="1713.6"/>
        <n v="5846"/>
        <n v="6125"/>
        <n v="1846.8"/>
        <n v="631.12"/>
        <n v="2756.25"/>
        <n v="2979.06"/>
        <n v="2843.75"/>
        <n v="18500"/>
        <n v="14437.5"/>
        <n v="9100"/>
        <n v="1350"/>
        <n v="1554"/>
        <n v="448.8"/>
        <n v="27300"/>
        <n v="1058.4000000000001"/>
        <n v="2550"/>
        <n v="1306.8"/>
        <n v="2491"/>
        <n v="922.5"/>
        <n v="2067"/>
        <n v="5625"/>
        <n v="1433.19"/>
        <n v="6195"/>
        <n v="2041.2"/>
        <n v="1233.21"/>
        <n v="940.94"/>
        <n v="514.5"/>
        <n v="1102.5"/>
        <n v="8925"/>
        <n v="3250"/>
        <n v="3459.84"/>
        <n v="3055"/>
        <n v="1516.86"/>
        <n v="1852.5"/>
        <n v="592.79999999999995"/>
        <n v="2400"/>
        <n v="1129.1400000000001"/>
        <n v="1152"/>
        <n v="4773.6000000000004"/>
        <n v="2275"/>
        <n v="2062.5"/>
        <n v="3316.32"/>
        <n v="2258.2800000000002"/>
        <n v="2893.32"/>
        <n v="3188.48"/>
        <n v="2311.6799999999998"/>
        <n v="7581"/>
        <n v="675"/>
        <n v="626.4"/>
        <n v="3044.8"/>
        <n v="1806"/>
        <n v="3045.35"/>
        <n v="6562.5"/>
        <n v="1921.67"/>
        <n v="1273.17"/>
        <n v="2515.5"/>
        <n v="2072.3000000000002"/>
        <n v="3300"/>
        <n v="1605.12"/>
        <n v="4547.2"/>
        <n v="1687.32"/>
        <n v="2298.2399999999998"/>
        <n v="7150"/>
        <n v="1652.92"/>
        <n v="12375"/>
        <n v="13500"/>
        <n v="13650"/>
        <n v="3062.5"/>
        <n v="7700"/>
        <n v="15400"/>
        <n v="3621"/>
        <n v="14850"/>
        <n v="13387.5"/>
        <n v="2554.5"/>
        <n v="10106.25"/>
        <n v="878.08"/>
        <n v="926.1"/>
        <n v="2359.5"/>
        <n v="2154.6"/>
        <n v="3481.92"/>
        <n v="11375"/>
        <n v="1506.96"/>
        <n v="2056.3200000000002"/>
        <n v="1094.46"/>
        <n v="28875"/>
        <n v="2162.4"/>
        <n v="4800"/>
        <n v="2956.8"/>
        <n v="6000"/>
        <n v="1151.02"/>
        <n v="874.65"/>
        <n v="9187.5"/>
        <n v="6414.76"/>
        <n v="3876.6"/>
        <n v="4371"/>
        <n v="6144"/>
        <n v="554.58000000000004"/>
        <n v="1575"/>
        <n v="1568.16"/>
        <n v="13000"/>
        <n v="518.4"/>
        <n v="1090.5999999999999"/>
        <n v="4196.88"/>
        <n v="2910.6"/>
        <n v="2784.6"/>
        <n v="3984.66"/>
        <n v="4173.12"/>
        <n v="19550"/>
        <n v="262.5"/>
        <n v="4606"/>
        <n v="775.2"/>
        <n v="1397.76"/>
        <n v="830.76"/>
        <n v="4411.8"/>
        <n v="508.95"/>
        <n v="3264"/>
        <n v="2128"/>
        <n v="8134.4"/>
        <n v="4375"/>
        <n v="10972.5"/>
        <n v="38250"/>
        <n v="3598.56"/>
        <n v="6019.2"/>
        <n v="881.28"/>
        <n v="1646.4"/>
        <n v="4398.24"/>
        <n v="2442.96"/>
        <n v="4872.07"/>
        <n v="529.76"/>
        <n v="3854.34"/>
        <n v="2233.44"/>
        <n v="1453.5"/>
        <n v="846.72"/>
        <n v="5180"/>
        <n v="3726.06"/>
        <n v="837.2"/>
        <n v="797.12"/>
        <n v="9562.5"/>
        <n v="5932.85"/>
        <n v="6581.25"/>
        <n v="550.29"/>
        <n v="17875"/>
        <n v="1854.72"/>
        <n v="1643.95"/>
        <n v="5371.66"/>
        <n v="3500"/>
        <n v="14787.5"/>
        <n v="5000"/>
        <n v="3136"/>
        <n v="2401.1999999999998"/>
        <n v="3814.2"/>
        <n v="528"/>
        <n v="13750"/>
        <n v="2531.25"/>
        <n v="2700"/>
        <n v="17212.5"/>
        <n v="4830"/>
        <n v="10312.5"/>
        <n v="5500"/>
        <n v="793.26"/>
        <n v="2690.28"/>
        <n v="1242"/>
        <n v="933.8"/>
        <n v="607.5"/>
        <n v="722.4"/>
        <n v="1656.48"/>
        <n v="3326.4"/>
        <n v="5943.42"/>
        <n v="4725"/>
        <n v="3696"/>
        <n v="3528.2"/>
        <n v="9300"/>
        <n v="1475.1"/>
        <n v="2426.9699999999998"/>
        <n v="1077.1199999999999"/>
        <n v="9957.64"/>
        <n v="3283.38"/>
        <n v="3710"/>
        <n v="20312.5"/>
        <n v="936"/>
        <n v="795.6"/>
        <n v="1323.54"/>
        <n v="4050"/>
        <n v="1040.4000000000001"/>
        <n v="3937.5"/>
        <n v="8225"/>
        <n v="1432.6"/>
        <n v="1021.31"/>
        <n v="8000"/>
        <n v="2228.65"/>
        <n v="3095.04"/>
        <n v="9185.2800000000007"/>
        <n v="8736"/>
        <n v="2822.4"/>
        <n v="1400"/>
        <n v="3272.28"/>
        <n v="4125"/>
        <n v="13800"/>
        <n v="2750"/>
        <n v="12512.5"/>
        <n v="1912.68"/>
        <n v="967.26"/>
        <n v="1730.56"/>
        <n v="1244.1600000000001"/>
        <n v="4778.55"/>
        <n v="231"/>
        <n v="2851.2"/>
        <n v="1291.5"/>
        <n v="15525"/>
        <n v="1054.17"/>
        <n v="1198.8"/>
        <n v="5755.62"/>
        <n v="1200"/>
        <n v="2508.8000000000002"/>
        <n v="1143.08"/>
        <n v="760"/>
        <n v="7481.25"/>
        <n v="2523.4"/>
        <n v="875"/>
        <n v="3243.92"/>
        <n v="2307.36"/>
        <n v="2151"/>
        <n v="1500"/>
        <n v="3202.64"/>
        <n v="4030.25"/>
        <n v="2117.92"/>
        <n v="3229.2"/>
        <n v="2203.1999999999998"/>
        <n v="6334.18"/>
        <n v="1139.28"/>
        <n v="2546.1"/>
        <n v="2697.3"/>
        <n v="4179.5600000000004"/>
        <n v="2279.1999999999998"/>
        <n v="724.5"/>
        <n v="1529.58"/>
        <n v="6250"/>
        <m/>
      </sharedItems>
    </cacheField>
    <cacheField name="Operating Margin" numFmtId="167">
      <sharedItems containsString="0" containsBlank="1" containsNumber="1" minValue="0.15" maxValue="0.79000000000000015" count="59">
        <n v="0.42"/>
        <n v="0.4"/>
        <n v="0.47"/>
        <n v="0.3"/>
        <n v="0.46"/>
        <n v="0.39"/>
        <n v="0.28000000000000003"/>
        <n v="0.31"/>
        <n v="0.55000000000000004"/>
        <n v="0.51"/>
        <n v="0.48"/>
        <n v="0.41"/>
        <n v="0.5"/>
        <n v="0.35"/>
        <n v="0.64"/>
        <n v="0.54"/>
        <n v="0.54999999999999993"/>
        <n v="0.44"/>
        <n v="0.49999999999999989"/>
        <n v="0.49"/>
        <n v="0.63"/>
        <n v="0.42999999999999988"/>
        <n v="0.62"/>
        <n v="0.56000000000000005"/>
        <n v="0.53"/>
        <n v="0.25"/>
        <n v="0.45"/>
        <n v="0.43"/>
        <n v="0.38"/>
        <n v="0.34"/>
        <n v="0.36"/>
        <n v="0.66000000000000014"/>
        <n v="0.61"/>
        <n v="0.33"/>
        <n v="0.2"/>
        <n v="0.32"/>
        <n v="0.28999999999999998"/>
        <n v="0.21"/>
        <n v="0.59000000000000008"/>
        <n v="0.15"/>
        <n v="0.65"/>
        <n v="0.37"/>
        <n v="0.79000000000000015"/>
        <n v="0.58000000000000007"/>
        <n v="0.52"/>
        <n v="0.57000000000000006"/>
        <n v="0.26"/>
        <n v="0.44000000000000011"/>
        <n v="0.18"/>
        <n v="0.6"/>
        <n v="0.60000000000000009"/>
        <n v="0.6100000000000001"/>
        <n v="0.54000000000000015"/>
        <n v="0.69000000000000006"/>
        <n v="0.65000000000000013"/>
        <n v="0.27"/>
        <n v="0.70000000000000007"/>
        <n v="0.67"/>
        <m/>
      </sharedItems>
    </cacheField>
    <cacheField name="Sales Method" numFmtId="167">
      <sharedItems containsBlank="1"/>
    </cacheField>
  </cacheFields>
  <extLst>
    <ext xmlns:x14="http://schemas.microsoft.com/office/spreadsheetml/2009/9/main" uri="{725AE2AE-9491-48be-B2B4-4EB974FC3084}">
      <x14:pivotCacheDefinition pivotCacheId="76921085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n v="1004"/>
    <x v="0"/>
    <x v="0"/>
    <s v="Utah"/>
    <s v="Salt Lake City"/>
    <x v="0"/>
    <n v="16"/>
    <x v="0"/>
    <x v="0"/>
    <x v="0"/>
    <x v="0"/>
    <s v="Outlet"/>
  </r>
  <r>
    <x v="1"/>
    <n v="1006"/>
    <x v="1"/>
    <x v="1"/>
    <s v="Kentucky"/>
    <s v="Louisville"/>
    <x v="1"/>
    <n v="40"/>
    <x v="1"/>
    <x v="1"/>
    <x v="1"/>
    <x v="1"/>
    <s v="Online"/>
  </r>
  <r>
    <x v="2"/>
    <n v="1003"/>
    <x v="2"/>
    <x v="1"/>
    <s v="Florida"/>
    <s v="Orlando"/>
    <x v="2"/>
    <n v="48"/>
    <x v="2"/>
    <x v="2"/>
    <x v="2"/>
    <x v="2"/>
    <s v="Outlet"/>
  </r>
  <r>
    <x v="1"/>
    <n v="1006"/>
    <x v="3"/>
    <x v="2"/>
    <s v="Vermont"/>
    <s v="Burlington"/>
    <x v="2"/>
    <n v="60"/>
    <x v="3"/>
    <x v="3"/>
    <x v="3"/>
    <x v="2"/>
    <s v="Outlet"/>
  </r>
  <r>
    <x v="2"/>
    <n v="1003"/>
    <x v="4"/>
    <x v="3"/>
    <s v="South Dakota"/>
    <s v="Sioux Falls"/>
    <x v="3"/>
    <n v="45"/>
    <x v="4"/>
    <x v="4"/>
    <x v="4"/>
    <x v="3"/>
    <s v="Online"/>
  </r>
  <r>
    <x v="3"/>
    <n v="1001"/>
    <x v="5"/>
    <x v="4"/>
    <s v="Louisiana"/>
    <s v="New Orleans"/>
    <x v="1"/>
    <n v="23"/>
    <x v="5"/>
    <x v="5"/>
    <x v="5"/>
    <x v="1"/>
    <s v="Online"/>
  </r>
  <r>
    <x v="3"/>
    <n v="1001"/>
    <x v="6"/>
    <x v="3"/>
    <s v="Nebraska"/>
    <s v="Omaha"/>
    <x v="3"/>
    <n v="33"/>
    <x v="6"/>
    <x v="6"/>
    <x v="6"/>
    <x v="4"/>
    <s v="Online"/>
  </r>
  <r>
    <x v="2"/>
    <n v="1003"/>
    <x v="7"/>
    <x v="1"/>
    <s v="Georgia"/>
    <s v="Atlanta"/>
    <x v="3"/>
    <n v="55"/>
    <x v="7"/>
    <x v="7"/>
    <x v="7"/>
    <x v="1"/>
    <s v="Online"/>
  </r>
  <r>
    <x v="3"/>
    <n v="1001"/>
    <x v="8"/>
    <x v="1"/>
    <s v="Virginia"/>
    <s v="Richmond"/>
    <x v="0"/>
    <n v="36"/>
    <x v="8"/>
    <x v="8"/>
    <x v="8"/>
    <x v="5"/>
    <s v="Outlet"/>
  </r>
  <r>
    <x v="3"/>
    <n v="1001"/>
    <x v="9"/>
    <x v="1"/>
    <s v="Virginia"/>
    <s v="Richmond"/>
    <x v="0"/>
    <n v="38"/>
    <x v="9"/>
    <x v="9"/>
    <x v="9"/>
    <x v="5"/>
    <s v="Outlet"/>
  </r>
  <r>
    <x v="1"/>
    <n v="1006"/>
    <x v="10"/>
    <x v="4"/>
    <s v="Alabama"/>
    <s v="Birmingham"/>
    <x v="1"/>
    <n v="27"/>
    <x v="10"/>
    <x v="10"/>
    <x v="10"/>
    <x v="5"/>
    <s v="Outlet"/>
  </r>
  <r>
    <x v="4"/>
    <n v="1002"/>
    <x v="11"/>
    <x v="2"/>
    <s v="New York"/>
    <s v="New York"/>
    <x v="2"/>
    <n v="53"/>
    <x v="11"/>
    <x v="11"/>
    <x v="11"/>
    <x v="6"/>
    <s v="Outlet"/>
  </r>
  <r>
    <x v="4"/>
    <n v="1002"/>
    <x v="12"/>
    <x v="1"/>
    <s v="Florida"/>
    <s v="Orlando"/>
    <x v="4"/>
    <n v="64"/>
    <x v="12"/>
    <x v="12"/>
    <x v="12"/>
    <x v="7"/>
    <s v="Online"/>
  </r>
  <r>
    <x v="2"/>
    <n v="1003"/>
    <x v="13"/>
    <x v="4"/>
    <s v="Texas"/>
    <s v="Dallas"/>
    <x v="2"/>
    <n v="42"/>
    <x v="13"/>
    <x v="13"/>
    <x v="13"/>
    <x v="8"/>
    <s v="Outlet"/>
  </r>
  <r>
    <x v="0"/>
    <n v="1004"/>
    <x v="12"/>
    <x v="4"/>
    <s v="Louisiana"/>
    <s v="New Orleans"/>
    <x v="0"/>
    <n v="41"/>
    <x v="14"/>
    <x v="14"/>
    <x v="14"/>
    <x v="9"/>
    <s v="Online"/>
  </r>
  <r>
    <x v="5"/>
    <n v="1005"/>
    <x v="14"/>
    <x v="3"/>
    <s v="Kansas"/>
    <s v="Wichita"/>
    <x v="3"/>
    <n v="39"/>
    <x v="15"/>
    <x v="15"/>
    <x v="15"/>
    <x v="10"/>
    <s v="Online"/>
  </r>
  <r>
    <x v="3"/>
    <n v="1001"/>
    <x v="15"/>
    <x v="3"/>
    <s v="North Dakota"/>
    <s v="Fargo"/>
    <x v="0"/>
    <n v="47"/>
    <x v="16"/>
    <x v="16"/>
    <x v="16"/>
    <x v="11"/>
    <s v="Online"/>
  </r>
  <r>
    <x v="5"/>
    <n v="1005"/>
    <x v="16"/>
    <x v="4"/>
    <s v="Oklahoma"/>
    <s v="Oklahoma City"/>
    <x v="1"/>
    <n v="55"/>
    <x v="17"/>
    <x v="17"/>
    <x v="17"/>
    <x v="0"/>
    <s v="Outlet"/>
  </r>
  <r>
    <x v="2"/>
    <n v="1003"/>
    <x v="17"/>
    <x v="3"/>
    <s v="Michigan"/>
    <s v="Detroit"/>
    <x v="3"/>
    <n v="50"/>
    <x v="18"/>
    <x v="18"/>
    <x v="18"/>
    <x v="1"/>
    <s v="In-store"/>
  </r>
  <r>
    <x v="2"/>
    <n v="1003"/>
    <x v="18"/>
    <x v="2"/>
    <s v="Rhode Island"/>
    <s v="Providence"/>
    <x v="0"/>
    <n v="48"/>
    <x v="19"/>
    <x v="19"/>
    <x v="19"/>
    <x v="12"/>
    <s v="Online"/>
  </r>
  <r>
    <x v="0"/>
    <n v="1004"/>
    <x v="19"/>
    <x v="2"/>
    <s v="New York"/>
    <s v="Albany"/>
    <x v="3"/>
    <n v="45"/>
    <x v="20"/>
    <x v="20"/>
    <x v="20"/>
    <x v="13"/>
    <s v="In-store"/>
  </r>
  <r>
    <x v="2"/>
    <n v="1003"/>
    <x v="20"/>
    <x v="4"/>
    <s v="Texas"/>
    <s v="Houston"/>
    <x v="2"/>
    <n v="34"/>
    <x v="21"/>
    <x v="21"/>
    <x v="21"/>
    <x v="14"/>
    <s v="Online"/>
  </r>
  <r>
    <x v="4"/>
    <n v="1002"/>
    <x v="21"/>
    <x v="4"/>
    <s v="Arkansas"/>
    <s v="Little Rock"/>
    <x v="1"/>
    <n v="55"/>
    <x v="22"/>
    <x v="22"/>
    <x v="22"/>
    <x v="15"/>
    <s v="Online"/>
  </r>
  <r>
    <x v="2"/>
    <n v="1003"/>
    <x v="22"/>
    <x v="4"/>
    <s v="Alabama"/>
    <s v="Birmingham"/>
    <x v="3"/>
    <n v="36"/>
    <x v="23"/>
    <x v="23"/>
    <x v="23"/>
    <x v="16"/>
    <s v="Outlet"/>
  </r>
  <r>
    <x v="3"/>
    <n v="1001"/>
    <x v="23"/>
    <x v="2"/>
    <s v="Pennsylvania"/>
    <s v="Philadelphia"/>
    <x v="4"/>
    <n v="59"/>
    <x v="24"/>
    <x v="24"/>
    <x v="24"/>
    <x v="0"/>
    <s v="Online"/>
  </r>
  <r>
    <x v="2"/>
    <n v="1003"/>
    <x v="24"/>
    <x v="0"/>
    <s v="New Mexico"/>
    <s v="Albuquerque"/>
    <x v="2"/>
    <n v="36"/>
    <x v="25"/>
    <x v="25"/>
    <x v="25"/>
    <x v="5"/>
    <s v="Online"/>
  </r>
  <r>
    <x v="5"/>
    <n v="1005"/>
    <x v="25"/>
    <x v="2"/>
    <s v="New Jersey"/>
    <s v="Newark"/>
    <x v="4"/>
    <n v="58"/>
    <x v="26"/>
    <x v="26"/>
    <x v="26"/>
    <x v="11"/>
    <s v="Online"/>
  </r>
  <r>
    <x v="0"/>
    <n v="1004"/>
    <x v="26"/>
    <x v="0"/>
    <s v="Nevada"/>
    <s v="Las Vegas"/>
    <x v="0"/>
    <n v="58"/>
    <x v="27"/>
    <x v="27"/>
    <x v="27"/>
    <x v="17"/>
    <s v="Online"/>
  </r>
  <r>
    <x v="0"/>
    <n v="1004"/>
    <x v="27"/>
    <x v="4"/>
    <s v="Louisiana"/>
    <s v="New Orleans"/>
    <x v="0"/>
    <n v="50"/>
    <x v="18"/>
    <x v="18"/>
    <x v="18"/>
    <x v="1"/>
    <s v="Online"/>
  </r>
  <r>
    <x v="2"/>
    <n v="1003"/>
    <x v="28"/>
    <x v="4"/>
    <s v="Alabama"/>
    <s v="Birmingham"/>
    <x v="3"/>
    <n v="60"/>
    <x v="28"/>
    <x v="28"/>
    <x v="28"/>
    <x v="18"/>
    <s v="Outlet"/>
  </r>
  <r>
    <x v="2"/>
    <n v="1003"/>
    <x v="29"/>
    <x v="1"/>
    <s v="North Carolina"/>
    <s v="Charlotte"/>
    <x v="3"/>
    <n v="33"/>
    <x v="29"/>
    <x v="29"/>
    <x v="29"/>
    <x v="4"/>
    <s v="Online"/>
  </r>
  <r>
    <x v="3"/>
    <n v="1001"/>
    <x v="30"/>
    <x v="3"/>
    <s v="Missouri"/>
    <s v="St. Louis"/>
    <x v="4"/>
    <n v="40"/>
    <x v="30"/>
    <x v="30"/>
    <x v="30"/>
    <x v="13"/>
    <s v="In-store"/>
  </r>
  <r>
    <x v="2"/>
    <n v="1003"/>
    <x v="31"/>
    <x v="3"/>
    <s v="North Dakota"/>
    <s v="Fargo"/>
    <x v="5"/>
    <n v="27"/>
    <x v="31"/>
    <x v="31"/>
    <x v="31"/>
    <x v="1"/>
    <s v="Online"/>
  </r>
  <r>
    <x v="0"/>
    <n v="1004"/>
    <x v="32"/>
    <x v="0"/>
    <s v="Oregon"/>
    <s v="Portland"/>
    <x v="1"/>
    <n v="51"/>
    <x v="32"/>
    <x v="32"/>
    <x v="32"/>
    <x v="19"/>
    <s v="Online"/>
  </r>
  <r>
    <x v="1"/>
    <n v="1006"/>
    <x v="33"/>
    <x v="2"/>
    <s v="Maine"/>
    <s v="Portland"/>
    <x v="0"/>
    <n v="35"/>
    <x v="33"/>
    <x v="33"/>
    <x v="33"/>
    <x v="3"/>
    <s v="Outlet"/>
  </r>
  <r>
    <x v="5"/>
    <n v="1005"/>
    <x v="34"/>
    <x v="3"/>
    <s v="Minnesota"/>
    <s v="Minneapolis"/>
    <x v="0"/>
    <n v="45"/>
    <x v="34"/>
    <x v="34"/>
    <x v="34"/>
    <x v="1"/>
    <s v="Outlet"/>
  </r>
  <r>
    <x v="4"/>
    <n v="1002"/>
    <x v="35"/>
    <x v="4"/>
    <s v="Texas"/>
    <s v="Houston"/>
    <x v="2"/>
    <n v="47"/>
    <x v="35"/>
    <x v="35"/>
    <x v="35"/>
    <x v="20"/>
    <s v="Online"/>
  </r>
  <r>
    <x v="0"/>
    <n v="1004"/>
    <x v="36"/>
    <x v="4"/>
    <s v="Louisiana"/>
    <s v="New Orleans"/>
    <x v="3"/>
    <n v="52"/>
    <x v="36"/>
    <x v="36"/>
    <x v="36"/>
    <x v="12"/>
    <s v="Online"/>
  </r>
  <r>
    <x v="2"/>
    <n v="1003"/>
    <x v="37"/>
    <x v="4"/>
    <s v="Alabama"/>
    <s v="Birmingham"/>
    <x v="4"/>
    <n v="37"/>
    <x v="36"/>
    <x v="37"/>
    <x v="37"/>
    <x v="10"/>
    <s v="Online"/>
  </r>
  <r>
    <x v="3"/>
    <n v="1001"/>
    <x v="38"/>
    <x v="2"/>
    <s v="New Hampshire"/>
    <s v="Manchester"/>
    <x v="2"/>
    <n v="80"/>
    <x v="7"/>
    <x v="38"/>
    <x v="38"/>
    <x v="13"/>
    <s v="Outlet"/>
  </r>
  <r>
    <x v="4"/>
    <n v="1002"/>
    <x v="39"/>
    <x v="2"/>
    <s v="New York"/>
    <s v="New York"/>
    <x v="2"/>
    <n v="48"/>
    <x v="37"/>
    <x v="39"/>
    <x v="39"/>
    <x v="3"/>
    <s v="Outlet"/>
  </r>
  <r>
    <x v="2"/>
    <n v="1003"/>
    <x v="40"/>
    <x v="4"/>
    <s v="Texas"/>
    <s v="Dallas"/>
    <x v="1"/>
    <n v="53"/>
    <x v="38"/>
    <x v="40"/>
    <x v="40"/>
    <x v="16"/>
    <s v="Online"/>
  </r>
  <r>
    <x v="5"/>
    <n v="1005"/>
    <x v="41"/>
    <x v="2"/>
    <s v="New Jersey"/>
    <s v="Newark"/>
    <x v="4"/>
    <n v="45"/>
    <x v="39"/>
    <x v="41"/>
    <x v="41"/>
    <x v="3"/>
    <s v="In-store"/>
  </r>
  <r>
    <x v="1"/>
    <n v="1006"/>
    <x v="42"/>
    <x v="1"/>
    <s v="Kentucky"/>
    <s v="Louisville"/>
    <x v="4"/>
    <n v="55"/>
    <x v="40"/>
    <x v="42"/>
    <x v="42"/>
    <x v="13"/>
    <s v="Online"/>
  </r>
  <r>
    <x v="3"/>
    <n v="1001"/>
    <x v="25"/>
    <x v="2"/>
    <s v="Rhode Island"/>
    <s v="Providence"/>
    <x v="3"/>
    <n v="46"/>
    <x v="6"/>
    <x v="43"/>
    <x v="43"/>
    <x v="19"/>
    <s v="Online"/>
  </r>
  <r>
    <x v="2"/>
    <n v="1003"/>
    <x v="43"/>
    <x v="2"/>
    <s v="Massachusetts"/>
    <s v="Boston"/>
    <x v="5"/>
    <n v="29"/>
    <x v="41"/>
    <x v="44"/>
    <x v="44"/>
    <x v="13"/>
    <s v="Online"/>
  </r>
  <r>
    <x v="2"/>
    <n v="1003"/>
    <x v="18"/>
    <x v="2"/>
    <s v="Rhode Island"/>
    <s v="Providence"/>
    <x v="5"/>
    <n v="47"/>
    <x v="12"/>
    <x v="45"/>
    <x v="45"/>
    <x v="9"/>
    <s v="Online"/>
  </r>
  <r>
    <x v="0"/>
    <n v="1004"/>
    <x v="44"/>
    <x v="0"/>
    <s v="Nevada"/>
    <s v="Las Vegas"/>
    <x v="0"/>
    <n v="47"/>
    <x v="42"/>
    <x v="46"/>
    <x v="46"/>
    <x v="4"/>
    <s v="Outlet"/>
  </r>
  <r>
    <x v="0"/>
    <n v="1004"/>
    <x v="2"/>
    <x v="4"/>
    <s v="Louisiana"/>
    <s v="New Orleans"/>
    <x v="0"/>
    <n v="43"/>
    <x v="43"/>
    <x v="47"/>
    <x v="47"/>
    <x v="21"/>
    <s v="Outlet"/>
  </r>
  <r>
    <x v="2"/>
    <n v="1003"/>
    <x v="45"/>
    <x v="3"/>
    <s v="North Dakota"/>
    <s v="Fargo"/>
    <x v="4"/>
    <n v="40"/>
    <x v="40"/>
    <x v="48"/>
    <x v="48"/>
    <x v="13"/>
    <s v="In-store"/>
  </r>
  <r>
    <x v="0"/>
    <n v="1004"/>
    <x v="46"/>
    <x v="0"/>
    <s v="Nevada"/>
    <s v="Las Vegas"/>
    <x v="1"/>
    <n v="65"/>
    <x v="44"/>
    <x v="49"/>
    <x v="49"/>
    <x v="1"/>
    <s v="In-store"/>
  </r>
  <r>
    <x v="2"/>
    <n v="1003"/>
    <x v="47"/>
    <x v="2"/>
    <s v="Massachusetts"/>
    <s v="Boston"/>
    <x v="5"/>
    <n v="36"/>
    <x v="33"/>
    <x v="50"/>
    <x v="50"/>
    <x v="7"/>
    <s v="Outlet"/>
  </r>
  <r>
    <x v="2"/>
    <n v="1003"/>
    <x v="48"/>
    <x v="4"/>
    <s v="Texas"/>
    <s v="Dallas"/>
    <x v="2"/>
    <n v="60"/>
    <x v="28"/>
    <x v="28"/>
    <x v="51"/>
    <x v="8"/>
    <s v="Outlet"/>
  </r>
  <r>
    <x v="3"/>
    <n v="1001"/>
    <x v="49"/>
    <x v="2"/>
    <s v="New York"/>
    <s v="New York"/>
    <x v="3"/>
    <n v="53"/>
    <x v="45"/>
    <x v="51"/>
    <x v="52"/>
    <x v="11"/>
    <s v="Online"/>
  </r>
  <r>
    <x v="0"/>
    <n v="1004"/>
    <x v="6"/>
    <x v="3"/>
    <s v="Indiana"/>
    <s v="Indianapolis"/>
    <x v="5"/>
    <n v="45"/>
    <x v="32"/>
    <x v="52"/>
    <x v="53"/>
    <x v="13"/>
    <s v="In-store"/>
  </r>
  <r>
    <x v="3"/>
    <n v="1001"/>
    <x v="50"/>
    <x v="3"/>
    <s v="Nebraska"/>
    <s v="Omaha"/>
    <x v="2"/>
    <n v="51"/>
    <x v="41"/>
    <x v="53"/>
    <x v="54"/>
    <x v="22"/>
    <s v="Online"/>
  </r>
  <r>
    <x v="3"/>
    <n v="1001"/>
    <x v="51"/>
    <x v="2"/>
    <s v="Rhode Island"/>
    <s v="Providence"/>
    <x v="4"/>
    <n v="50"/>
    <x v="39"/>
    <x v="54"/>
    <x v="55"/>
    <x v="3"/>
    <s v="In-store"/>
  </r>
  <r>
    <x v="4"/>
    <n v="1002"/>
    <x v="52"/>
    <x v="2"/>
    <s v="New York"/>
    <s v="New York"/>
    <x v="1"/>
    <n v="48"/>
    <x v="46"/>
    <x v="55"/>
    <x v="56"/>
    <x v="23"/>
    <s v="Outlet"/>
  </r>
  <r>
    <x v="3"/>
    <n v="1001"/>
    <x v="22"/>
    <x v="3"/>
    <s v="Missouri"/>
    <s v="St. Louis"/>
    <x v="0"/>
    <n v="14"/>
    <x v="47"/>
    <x v="56"/>
    <x v="57"/>
    <x v="24"/>
    <s v="Online"/>
  </r>
  <r>
    <x v="2"/>
    <n v="1003"/>
    <x v="53"/>
    <x v="4"/>
    <s v="Tennessee"/>
    <s v="Knoxville"/>
    <x v="0"/>
    <n v="40"/>
    <x v="48"/>
    <x v="57"/>
    <x v="58"/>
    <x v="12"/>
    <s v="Outlet"/>
  </r>
  <r>
    <x v="0"/>
    <n v="1004"/>
    <x v="54"/>
    <x v="3"/>
    <s v="Wisconsin"/>
    <s v="Milwaukee"/>
    <x v="1"/>
    <n v="18"/>
    <x v="49"/>
    <x v="58"/>
    <x v="59"/>
    <x v="11"/>
    <s v="Online"/>
  </r>
  <r>
    <x v="0"/>
    <n v="1004"/>
    <x v="55"/>
    <x v="0"/>
    <s v="Oregon"/>
    <s v="Portland"/>
    <x v="2"/>
    <n v="69"/>
    <x v="50"/>
    <x v="59"/>
    <x v="60"/>
    <x v="17"/>
    <s v="Online"/>
  </r>
  <r>
    <x v="1"/>
    <n v="1006"/>
    <x v="56"/>
    <x v="0"/>
    <s v="Alaska"/>
    <s v="Anchorage"/>
    <x v="0"/>
    <n v="65"/>
    <x v="51"/>
    <x v="60"/>
    <x v="61"/>
    <x v="25"/>
    <s v="Outlet"/>
  </r>
  <r>
    <x v="2"/>
    <n v="1003"/>
    <x v="57"/>
    <x v="2"/>
    <s v="Maryland"/>
    <s v="Baltimore"/>
    <x v="5"/>
    <n v="37"/>
    <x v="31"/>
    <x v="61"/>
    <x v="62"/>
    <x v="19"/>
    <s v="Online"/>
  </r>
  <r>
    <x v="0"/>
    <n v="1004"/>
    <x v="58"/>
    <x v="2"/>
    <s v="New York"/>
    <s v="Albany"/>
    <x v="5"/>
    <n v="55"/>
    <x v="52"/>
    <x v="62"/>
    <x v="63"/>
    <x v="25"/>
    <s v="In-store"/>
  </r>
  <r>
    <x v="0"/>
    <n v="1004"/>
    <x v="59"/>
    <x v="0"/>
    <s v="Nevada"/>
    <s v="Las Vegas"/>
    <x v="3"/>
    <n v="45"/>
    <x v="53"/>
    <x v="63"/>
    <x v="64"/>
    <x v="25"/>
    <s v="Outlet"/>
  </r>
  <r>
    <x v="3"/>
    <n v="1001"/>
    <x v="5"/>
    <x v="4"/>
    <s v="Louisiana"/>
    <s v="New Orleans"/>
    <x v="3"/>
    <n v="32"/>
    <x v="54"/>
    <x v="64"/>
    <x v="65"/>
    <x v="0"/>
    <s v="Online"/>
  </r>
  <r>
    <x v="0"/>
    <n v="1004"/>
    <x v="12"/>
    <x v="2"/>
    <s v="West Virginia"/>
    <s v="Charleston"/>
    <x v="4"/>
    <n v="35"/>
    <x v="32"/>
    <x v="41"/>
    <x v="66"/>
    <x v="1"/>
    <s v="In-store"/>
  </r>
  <r>
    <x v="0"/>
    <n v="1004"/>
    <x v="6"/>
    <x v="3"/>
    <s v="Indiana"/>
    <s v="Indianapolis"/>
    <x v="3"/>
    <n v="49"/>
    <x v="55"/>
    <x v="65"/>
    <x v="67"/>
    <x v="12"/>
    <s v="Online"/>
  </r>
  <r>
    <x v="0"/>
    <n v="1004"/>
    <x v="60"/>
    <x v="0"/>
    <s v="Colorado"/>
    <s v="Denver"/>
    <x v="1"/>
    <n v="54"/>
    <x v="56"/>
    <x v="66"/>
    <x v="68"/>
    <x v="14"/>
    <s v="Online"/>
  </r>
  <r>
    <x v="3"/>
    <n v="1001"/>
    <x v="61"/>
    <x v="3"/>
    <s v="Minnesota"/>
    <s v="Minneapolis"/>
    <x v="1"/>
    <n v="39"/>
    <x v="57"/>
    <x v="67"/>
    <x v="69"/>
    <x v="12"/>
    <s v="Online"/>
  </r>
  <r>
    <x v="3"/>
    <n v="1001"/>
    <x v="62"/>
    <x v="2"/>
    <s v="New Hampshire"/>
    <s v="Manchester"/>
    <x v="2"/>
    <n v="54"/>
    <x v="9"/>
    <x v="25"/>
    <x v="70"/>
    <x v="26"/>
    <s v="Online"/>
  </r>
  <r>
    <x v="4"/>
    <n v="1002"/>
    <x v="63"/>
    <x v="4"/>
    <s v="Mississippi"/>
    <s v="Jackson"/>
    <x v="4"/>
    <n v="29"/>
    <x v="58"/>
    <x v="68"/>
    <x v="71"/>
    <x v="10"/>
    <s v="Online"/>
  </r>
  <r>
    <x v="0"/>
    <n v="1004"/>
    <x v="62"/>
    <x v="0"/>
    <s v="Utah"/>
    <s v="Salt Lake City"/>
    <x v="2"/>
    <n v="39"/>
    <x v="58"/>
    <x v="25"/>
    <x v="72"/>
    <x v="27"/>
    <s v="Online"/>
  </r>
  <r>
    <x v="0"/>
    <n v="1004"/>
    <x v="64"/>
    <x v="4"/>
    <s v="Louisiana"/>
    <s v="New Orleans"/>
    <x v="0"/>
    <n v="82"/>
    <x v="59"/>
    <x v="69"/>
    <x v="73"/>
    <x v="16"/>
    <s v="Online"/>
  </r>
  <r>
    <x v="2"/>
    <n v="1003"/>
    <x v="65"/>
    <x v="1"/>
    <s v="Georgia"/>
    <s v="Atlanta"/>
    <x v="4"/>
    <n v="60"/>
    <x v="60"/>
    <x v="70"/>
    <x v="74"/>
    <x v="10"/>
    <s v="Online"/>
  </r>
  <r>
    <x v="2"/>
    <n v="1003"/>
    <x v="66"/>
    <x v="2"/>
    <s v="Massachusetts"/>
    <s v="Boston"/>
    <x v="0"/>
    <n v="32"/>
    <x v="61"/>
    <x v="71"/>
    <x v="75"/>
    <x v="28"/>
    <s v="Online"/>
  </r>
  <r>
    <x v="1"/>
    <n v="1006"/>
    <x v="67"/>
    <x v="1"/>
    <s v="Kentucky"/>
    <s v="Louisville"/>
    <x v="3"/>
    <n v="39"/>
    <x v="62"/>
    <x v="72"/>
    <x v="76"/>
    <x v="2"/>
    <s v="Online"/>
  </r>
  <r>
    <x v="3"/>
    <n v="1001"/>
    <x v="68"/>
    <x v="2"/>
    <s v="New York"/>
    <s v="New York"/>
    <x v="2"/>
    <n v="50"/>
    <x v="63"/>
    <x v="73"/>
    <x v="77"/>
    <x v="25"/>
    <s v="Outlet"/>
  </r>
  <r>
    <x v="5"/>
    <n v="1005"/>
    <x v="69"/>
    <x v="4"/>
    <s v="Oklahoma"/>
    <s v="Oklahoma City"/>
    <x v="1"/>
    <n v="16"/>
    <x v="64"/>
    <x v="74"/>
    <x v="78"/>
    <x v="17"/>
    <s v="Outlet"/>
  </r>
  <r>
    <x v="1"/>
    <n v="1006"/>
    <x v="70"/>
    <x v="2"/>
    <s v="Maine"/>
    <s v="Portland"/>
    <x v="3"/>
    <n v="55"/>
    <x v="65"/>
    <x v="75"/>
    <x v="79"/>
    <x v="13"/>
    <s v="Outlet"/>
  </r>
  <r>
    <x v="2"/>
    <n v="1003"/>
    <x v="13"/>
    <x v="3"/>
    <s v="Michigan"/>
    <s v="Detroit"/>
    <x v="0"/>
    <n v="35"/>
    <x v="66"/>
    <x v="76"/>
    <x v="80"/>
    <x v="13"/>
    <s v="In-store"/>
  </r>
  <r>
    <x v="1"/>
    <n v="1006"/>
    <x v="70"/>
    <x v="2"/>
    <s v="Maine"/>
    <s v="Portland"/>
    <x v="5"/>
    <n v="52"/>
    <x v="61"/>
    <x v="77"/>
    <x v="81"/>
    <x v="12"/>
    <s v="Online"/>
  </r>
  <r>
    <x v="0"/>
    <n v="1004"/>
    <x v="71"/>
    <x v="0"/>
    <s v="Washington"/>
    <s v="Seattle"/>
    <x v="4"/>
    <n v="85"/>
    <x v="67"/>
    <x v="78"/>
    <x v="82"/>
    <x v="1"/>
    <s v="Online"/>
  </r>
  <r>
    <x v="5"/>
    <n v="1005"/>
    <x v="15"/>
    <x v="2"/>
    <s v="New York"/>
    <s v="Albany"/>
    <x v="5"/>
    <n v="55"/>
    <x v="52"/>
    <x v="62"/>
    <x v="63"/>
    <x v="25"/>
    <s v="In-store"/>
  </r>
  <r>
    <x v="0"/>
    <n v="1004"/>
    <x v="72"/>
    <x v="0"/>
    <s v="Idaho"/>
    <s v="Boise"/>
    <x v="4"/>
    <n v="43"/>
    <x v="68"/>
    <x v="79"/>
    <x v="83"/>
    <x v="29"/>
    <s v="Outlet"/>
  </r>
  <r>
    <x v="4"/>
    <n v="1002"/>
    <x v="73"/>
    <x v="4"/>
    <s v="Texas"/>
    <s v="Houston"/>
    <x v="4"/>
    <n v="36"/>
    <x v="69"/>
    <x v="80"/>
    <x v="84"/>
    <x v="30"/>
    <s v="Outlet"/>
  </r>
  <r>
    <x v="2"/>
    <n v="1003"/>
    <x v="74"/>
    <x v="4"/>
    <s v="Alabama"/>
    <s v="Birmingham"/>
    <x v="4"/>
    <n v="38"/>
    <x v="61"/>
    <x v="81"/>
    <x v="85"/>
    <x v="10"/>
    <s v="Online"/>
  </r>
  <r>
    <x v="2"/>
    <n v="1003"/>
    <x v="75"/>
    <x v="0"/>
    <s v="Idaho"/>
    <s v="Boise"/>
    <x v="4"/>
    <n v="41"/>
    <x v="70"/>
    <x v="82"/>
    <x v="86"/>
    <x v="28"/>
    <s v="Outlet"/>
  </r>
  <r>
    <x v="3"/>
    <n v="1001"/>
    <x v="76"/>
    <x v="1"/>
    <s v="South Carolina"/>
    <s v="Charleston"/>
    <x v="1"/>
    <n v="55"/>
    <x v="71"/>
    <x v="83"/>
    <x v="87"/>
    <x v="26"/>
    <s v="Online"/>
  </r>
  <r>
    <x v="3"/>
    <n v="1001"/>
    <x v="77"/>
    <x v="3"/>
    <s v="South Dakota"/>
    <s v="Sioux Falls"/>
    <x v="1"/>
    <n v="60"/>
    <x v="72"/>
    <x v="84"/>
    <x v="88"/>
    <x v="13"/>
    <s v="Online"/>
  </r>
  <r>
    <x v="2"/>
    <n v="1003"/>
    <x v="78"/>
    <x v="4"/>
    <s v="Alabama"/>
    <s v="Birmingham"/>
    <x v="2"/>
    <n v="26"/>
    <x v="73"/>
    <x v="19"/>
    <x v="89"/>
    <x v="31"/>
    <s v="Outlet"/>
  </r>
  <r>
    <x v="1"/>
    <n v="1006"/>
    <x v="79"/>
    <x v="3"/>
    <s v="Ohio"/>
    <s v="Columbus"/>
    <x v="2"/>
    <n v="30"/>
    <x v="66"/>
    <x v="85"/>
    <x v="90"/>
    <x v="12"/>
    <s v="Online"/>
  </r>
  <r>
    <x v="2"/>
    <n v="1003"/>
    <x v="80"/>
    <x v="3"/>
    <s v="Michigan"/>
    <s v="Detroit"/>
    <x v="1"/>
    <n v="34"/>
    <x v="74"/>
    <x v="86"/>
    <x v="91"/>
    <x v="32"/>
    <s v="Online"/>
  </r>
  <r>
    <x v="4"/>
    <n v="1002"/>
    <x v="81"/>
    <x v="1"/>
    <s v="Florida"/>
    <s v="Orlando"/>
    <x v="5"/>
    <n v="62"/>
    <x v="75"/>
    <x v="87"/>
    <x v="92"/>
    <x v="33"/>
    <s v="Outlet"/>
  </r>
  <r>
    <x v="0"/>
    <n v="1004"/>
    <x v="82"/>
    <x v="0"/>
    <s v="California"/>
    <s v="San Francisco"/>
    <x v="2"/>
    <n v="80"/>
    <x v="76"/>
    <x v="88"/>
    <x v="93"/>
    <x v="34"/>
    <s v="Outlet"/>
  </r>
  <r>
    <x v="2"/>
    <n v="1003"/>
    <x v="83"/>
    <x v="4"/>
    <s v="Texas"/>
    <s v="Houston"/>
    <x v="5"/>
    <n v="34"/>
    <x v="21"/>
    <x v="21"/>
    <x v="94"/>
    <x v="4"/>
    <s v="Online"/>
  </r>
  <r>
    <x v="2"/>
    <n v="1003"/>
    <x v="84"/>
    <x v="4"/>
    <s v="Texas"/>
    <s v="Dallas"/>
    <x v="5"/>
    <n v="45"/>
    <x v="77"/>
    <x v="89"/>
    <x v="95"/>
    <x v="1"/>
    <s v="Outlet"/>
  </r>
  <r>
    <x v="3"/>
    <n v="1001"/>
    <x v="85"/>
    <x v="2"/>
    <s v="Pennsylvania"/>
    <s v="Philadelphia"/>
    <x v="3"/>
    <n v="37"/>
    <x v="78"/>
    <x v="90"/>
    <x v="96"/>
    <x v="35"/>
    <s v="Outlet"/>
  </r>
  <r>
    <x v="3"/>
    <n v="1001"/>
    <x v="86"/>
    <x v="3"/>
    <s v="Minnesota"/>
    <s v="Minneapolis"/>
    <x v="5"/>
    <n v="45"/>
    <x v="32"/>
    <x v="52"/>
    <x v="97"/>
    <x v="3"/>
    <s v="Outlet"/>
  </r>
  <r>
    <x v="0"/>
    <n v="1004"/>
    <x v="87"/>
    <x v="0"/>
    <s v="Nevada"/>
    <s v="Las Vegas"/>
    <x v="0"/>
    <n v="64"/>
    <x v="79"/>
    <x v="91"/>
    <x v="98"/>
    <x v="2"/>
    <s v="Online"/>
  </r>
  <r>
    <x v="1"/>
    <n v="1006"/>
    <x v="88"/>
    <x v="3"/>
    <s v="Ohio"/>
    <s v="Columbus"/>
    <x v="4"/>
    <n v="40"/>
    <x v="7"/>
    <x v="92"/>
    <x v="99"/>
    <x v="13"/>
    <s v="Online"/>
  </r>
  <r>
    <x v="2"/>
    <n v="1003"/>
    <x v="27"/>
    <x v="4"/>
    <s v="Mississippi"/>
    <s v="Jackson"/>
    <x v="1"/>
    <n v="28"/>
    <x v="5"/>
    <x v="93"/>
    <x v="100"/>
    <x v="15"/>
    <s v="Online"/>
  </r>
  <r>
    <x v="2"/>
    <n v="1003"/>
    <x v="89"/>
    <x v="4"/>
    <s v="Texas"/>
    <s v="Dallas"/>
    <x v="4"/>
    <n v="35"/>
    <x v="34"/>
    <x v="94"/>
    <x v="101"/>
    <x v="3"/>
    <s v="Outlet"/>
  </r>
  <r>
    <x v="0"/>
    <n v="1004"/>
    <x v="90"/>
    <x v="0"/>
    <s v="Washington"/>
    <s v="Seattle"/>
    <x v="2"/>
    <n v="86"/>
    <x v="40"/>
    <x v="95"/>
    <x v="102"/>
    <x v="29"/>
    <s v="Online"/>
  </r>
  <r>
    <x v="5"/>
    <n v="1005"/>
    <x v="91"/>
    <x v="2"/>
    <s v="New Jersey"/>
    <s v="Newark"/>
    <x v="1"/>
    <n v="50"/>
    <x v="48"/>
    <x v="96"/>
    <x v="103"/>
    <x v="13"/>
    <s v="In-store"/>
  </r>
  <r>
    <x v="4"/>
    <n v="1002"/>
    <x v="92"/>
    <x v="4"/>
    <s v="Arkansas"/>
    <s v="Little Rock"/>
    <x v="3"/>
    <n v="20"/>
    <x v="53"/>
    <x v="97"/>
    <x v="104"/>
    <x v="13"/>
    <s v="Online"/>
  </r>
  <r>
    <x v="4"/>
    <n v="1002"/>
    <x v="93"/>
    <x v="1"/>
    <s v="Florida"/>
    <s v="Orlando"/>
    <x v="0"/>
    <n v="39"/>
    <x v="80"/>
    <x v="98"/>
    <x v="105"/>
    <x v="29"/>
    <s v="Outlet"/>
  </r>
  <r>
    <x v="0"/>
    <n v="1004"/>
    <x v="94"/>
    <x v="2"/>
    <s v="Pennsylvania"/>
    <s v="Philadelphia"/>
    <x v="1"/>
    <n v="35"/>
    <x v="81"/>
    <x v="99"/>
    <x v="106"/>
    <x v="1"/>
    <s v="Outlet"/>
  </r>
  <r>
    <x v="3"/>
    <n v="1001"/>
    <x v="79"/>
    <x v="0"/>
    <s v="Hawaii"/>
    <s v="Honolulu"/>
    <x v="3"/>
    <n v="55"/>
    <x v="82"/>
    <x v="100"/>
    <x v="107"/>
    <x v="34"/>
    <s v="Outlet"/>
  </r>
  <r>
    <x v="0"/>
    <n v="1004"/>
    <x v="95"/>
    <x v="0"/>
    <s v="Utah"/>
    <s v="Salt Lake City"/>
    <x v="1"/>
    <n v="30"/>
    <x v="83"/>
    <x v="60"/>
    <x v="108"/>
    <x v="1"/>
    <s v="In-store"/>
  </r>
  <r>
    <x v="3"/>
    <n v="1001"/>
    <x v="96"/>
    <x v="1"/>
    <s v="South Carolina"/>
    <s v="Charleston"/>
    <x v="3"/>
    <n v="60"/>
    <x v="76"/>
    <x v="101"/>
    <x v="109"/>
    <x v="13"/>
    <s v="Online"/>
  </r>
  <r>
    <x v="1"/>
    <n v="1006"/>
    <x v="97"/>
    <x v="2"/>
    <s v="Vermont"/>
    <s v="Burlington"/>
    <x v="2"/>
    <n v="45"/>
    <x v="65"/>
    <x v="102"/>
    <x v="110"/>
    <x v="1"/>
    <s v="In-store"/>
  </r>
  <r>
    <x v="4"/>
    <n v="1002"/>
    <x v="98"/>
    <x v="2"/>
    <s v="New York"/>
    <s v="New York"/>
    <x v="3"/>
    <n v="50"/>
    <x v="84"/>
    <x v="103"/>
    <x v="111"/>
    <x v="17"/>
    <s v="Online"/>
  </r>
  <r>
    <x v="4"/>
    <n v="1002"/>
    <x v="99"/>
    <x v="4"/>
    <s v="Texas"/>
    <s v="Houston"/>
    <x v="1"/>
    <n v="33"/>
    <x v="85"/>
    <x v="104"/>
    <x v="112"/>
    <x v="0"/>
    <s v="Outlet"/>
  </r>
  <r>
    <x v="0"/>
    <n v="1004"/>
    <x v="100"/>
    <x v="0"/>
    <s v="Washington"/>
    <s v="Seattle"/>
    <x v="3"/>
    <n v="80"/>
    <x v="52"/>
    <x v="73"/>
    <x v="77"/>
    <x v="25"/>
    <s v="In-store"/>
  </r>
  <r>
    <x v="0"/>
    <n v="1004"/>
    <x v="101"/>
    <x v="0"/>
    <s v="California"/>
    <s v="San Francisco"/>
    <x v="0"/>
    <n v="48"/>
    <x v="86"/>
    <x v="105"/>
    <x v="113"/>
    <x v="29"/>
    <s v="Outlet"/>
  </r>
  <r>
    <x v="3"/>
    <n v="1001"/>
    <x v="102"/>
    <x v="2"/>
    <s v="Rhode Island"/>
    <s v="Providence"/>
    <x v="0"/>
    <n v="39"/>
    <x v="87"/>
    <x v="106"/>
    <x v="114"/>
    <x v="15"/>
    <s v="Online"/>
  </r>
  <r>
    <x v="0"/>
    <n v="1004"/>
    <x v="103"/>
    <x v="3"/>
    <s v="Indiana"/>
    <s v="Indianapolis"/>
    <x v="0"/>
    <n v="40"/>
    <x v="17"/>
    <x v="107"/>
    <x v="115"/>
    <x v="13"/>
    <s v="In-store"/>
  </r>
  <r>
    <x v="1"/>
    <n v="1006"/>
    <x v="104"/>
    <x v="2"/>
    <s v="Vermont"/>
    <s v="Burlington"/>
    <x v="4"/>
    <n v="50"/>
    <x v="88"/>
    <x v="108"/>
    <x v="116"/>
    <x v="5"/>
    <s v="Outlet"/>
  </r>
  <r>
    <x v="0"/>
    <n v="1004"/>
    <x v="22"/>
    <x v="4"/>
    <s v="Oklahoma"/>
    <s v="Oklahoma City"/>
    <x v="1"/>
    <n v="50"/>
    <x v="77"/>
    <x v="109"/>
    <x v="117"/>
    <x v="1"/>
    <s v="Online"/>
  </r>
  <r>
    <x v="2"/>
    <n v="1003"/>
    <x v="105"/>
    <x v="1"/>
    <s v="Georgia"/>
    <s v="Atlanta"/>
    <x v="2"/>
    <n v="28"/>
    <x v="2"/>
    <x v="110"/>
    <x v="118"/>
    <x v="36"/>
    <s v="Outlet"/>
  </r>
  <r>
    <x v="4"/>
    <n v="1002"/>
    <x v="21"/>
    <x v="4"/>
    <s v="Arkansas"/>
    <s v="Little Rock"/>
    <x v="3"/>
    <n v="42"/>
    <x v="5"/>
    <x v="111"/>
    <x v="119"/>
    <x v="5"/>
    <s v="Outlet"/>
  </r>
  <r>
    <x v="1"/>
    <n v="1006"/>
    <x v="106"/>
    <x v="2"/>
    <s v="Massachusetts"/>
    <s v="Boston"/>
    <x v="5"/>
    <n v="51"/>
    <x v="89"/>
    <x v="112"/>
    <x v="120"/>
    <x v="5"/>
    <s v="Online"/>
  </r>
  <r>
    <x v="0"/>
    <n v="1004"/>
    <x v="72"/>
    <x v="0"/>
    <s v="Idaho"/>
    <s v="Boise"/>
    <x v="2"/>
    <n v="39"/>
    <x v="90"/>
    <x v="113"/>
    <x v="121"/>
    <x v="8"/>
    <s v="Outlet"/>
  </r>
  <r>
    <x v="4"/>
    <n v="1002"/>
    <x v="81"/>
    <x v="1"/>
    <s v="Florida"/>
    <s v="Orlando"/>
    <x v="0"/>
    <n v="64"/>
    <x v="91"/>
    <x v="114"/>
    <x v="122"/>
    <x v="33"/>
    <s v="Outlet"/>
  </r>
  <r>
    <x v="0"/>
    <n v="1004"/>
    <x v="107"/>
    <x v="0"/>
    <s v="California"/>
    <s v="San Francisco"/>
    <x v="2"/>
    <n v="67"/>
    <x v="92"/>
    <x v="115"/>
    <x v="123"/>
    <x v="37"/>
    <s v="Online"/>
  </r>
  <r>
    <x v="1"/>
    <n v="1006"/>
    <x v="108"/>
    <x v="2"/>
    <s v="New Hampshire"/>
    <s v="Manchester"/>
    <x v="5"/>
    <n v="32"/>
    <x v="42"/>
    <x v="116"/>
    <x v="124"/>
    <x v="29"/>
    <s v="Outlet"/>
  </r>
  <r>
    <x v="0"/>
    <n v="1004"/>
    <x v="109"/>
    <x v="0"/>
    <s v="Washington"/>
    <s v="Seattle"/>
    <x v="5"/>
    <n v="70"/>
    <x v="81"/>
    <x v="117"/>
    <x v="125"/>
    <x v="25"/>
    <s v="In-store"/>
  </r>
  <r>
    <x v="3"/>
    <n v="1001"/>
    <x v="110"/>
    <x v="3"/>
    <s v="Nebraska"/>
    <s v="Omaha"/>
    <x v="1"/>
    <n v="35"/>
    <x v="66"/>
    <x v="76"/>
    <x v="126"/>
    <x v="1"/>
    <s v="Outlet"/>
  </r>
  <r>
    <x v="0"/>
    <n v="1004"/>
    <x v="111"/>
    <x v="3"/>
    <s v="Indiana"/>
    <s v="Indianapolis"/>
    <x v="2"/>
    <n v="60"/>
    <x v="34"/>
    <x v="60"/>
    <x v="108"/>
    <x v="1"/>
    <s v="In-store"/>
  </r>
  <r>
    <x v="0"/>
    <n v="1004"/>
    <x v="112"/>
    <x v="0"/>
    <s v="Nevada"/>
    <s v="Las Vegas"/>
    <x v="4"/>
    <n v="47"/>
    <x v="40"/>
    <x v="118"/>
    <x v="127"/>
    <x v="38"/>
    <s v="Outlet"/>
  </r>
  <r>
    <x v="5"/>
    <n v="1005"/>
    <x v="113"/>
    <x v="2"/>
    <s v="Delaware"/>
    <s v="Wilmington"/>
    <x v="1"/>
    <n v="32"/>
    <x v="93"/>
    <x v="119"/>
    <x v="128"/>
    <x v="12"/>
    <s v="Online"/>
  </r>
  <r>
    <x v="2"/>
    <n v="1003"/>
    <x v="114"/>
    <x v="4"/>
    <s v="Texas"/>
    <s v="Dallas"/>
    <x v="1"/>
    <n v="49"/>
    <x v="94"/>
    <x v="120"/>
    <x v="129"/>
    <x v="9"/>
    <s v="Online"/>
  </r>
  <r>
    <x v="2"/>
    <n v="1003"/>
    <x v="115"/>
    <x v="4"/>
    <s v="Mississippi"/>
    <s v="Jackson"/>
    <x v="3"/>
    <n v="60"/>
    <x v="77"/>
    <x v="121"/>
    <x v="130"/>
    <x v="13"/>
    <s v="Online"/>
  </r>
  <r>
    <x v="0"/>
    <n v="1004"/>
    <x v="116"/>
    <x v="2"/>
    <s v="Maryland"/>
    <s v="Baltimore"/>
    <x v="1"/>
    <n v="50"/>
    <x v="95"/>
    <x v="122"/>
    <x v="131"/>
    <x v="1"/>
    <s v="In-store"/>
  </r>
  <r>
    <x v="4"/>
    <n v="1002"/>
    <x v="117"/>
    <x v="0"/>
    <s v="Hawaii"/>
    <s v="Honolulu"/>
    <x v="4"/>
    <n v="65"/>
    <x v="4"/>
    <x v="123"/>
    <x v="132"/>
    <x v="39"/>
    <s v="Outlet"/>
  </r>
  <r>
    <x v="1"/>
    <n v="1006"/>
    <x v="118"/>
    <x v="2"/>
    <s v="New Hampshire"/>
    <s v="Manchester"/>
    <x v="3"/>
    <n v="40"/>
    <x v="0"/>
    <x v="124"/>
    <x v="133"/>
    <x v="27"/>
    <s v="Outlet"/>
  </r>
  <r>
    <x v="2"/>
    <n v="1003"/>
    <x v="119"/>
    <x v="2"/>
    <s v="Connecticut"/>
    <s v="Hartford"/>
    <x v="0"/>
    <n v="35"/>
    <x v="96"/>
    <x v="125"/>
    <x v="134"/>
    <x v="3"/>
    <s v="In-store"/>
  </r>
  <r>
    <x v="0"/>
    <n v="1004"/>
    <x v="101"/>
    <x v="0"/>
    <s v="California"/>
    <s v="San Francisco"/>
    <x v="0"/>
    <n v="54"/>
    <x v="86"/>
    <x v="126"/>
    <x v="135"/>
    <x v="11"/>
    <s v="Online"/>
  </r>
  <r>
    <x v="3"/>
    <n v="1001"/>
    <x v="120"/>
    <x v="3"/>
    <s v="Michigan"/>
    <s v="Detroit"/>
    <x v="2"/>
    <n v="59"/>
    <x v="5"/>
    <x v="127"/>
    <x v="136"/>
    <x v="40"/>
    <s v="Online"/>
  </r>
  <r>
    <x v="0"/>
    <n v="1004"/>
    <x v="19"/>
    <x v="2"/>
    <s v="New York"/>
    <s v="Albany"/>
    <x v="4"/>
    <n v="51"/>
    <x v="97"/>
    <x v="128"/>
    <x v="137"/>
    <x v="19"/>
    <s v="Online"/>
  </r>
  <r>
    <x v="0"/>
    <n v="1004"/>
    <x v="32"/>
    <x v="0"/>
    <s v="Oregon"/>
    <s v="Portland"/>
    <x v="3"/>
    <n v="47"/>
    <x v="92"/>
    <x v="129"/>
    <x v="138"/>
    <x v="11"/>
    <s v="Outlet"/>
  </r>
  <r>
    <x v="3"/>
    <n v="1001"/>
    <x v="69"/>
    <x v="2"/>
    <s v="Pennsylvania"/>
    <s v="Philadelphia"/>
    <x v="2"/>
    <n v="51"/>
    <x v="9"/>
    <x v="130"/>
    <x v="139"/>
    <x v="41"/>
    <s v="Outlet"/>
  </r>
  <r>
    <x v="2"/>
    <n v="1003"/>
    <x v="121"/>
    <x v="4"/>
    <s v="Alabama"/>
    <s v="Birmingham"/>
    <x v="2"/>
    <n v="56"/>
    <x v="86"/>
    <x v="131"/>
    <x v="140"/>
    <x v="42"/>
    <s v="Online"/>
  </r>
  <r>
    <x v="1"/>
    <n v="1006"/>
    <x v="122"/>
    <x v="1"/>
    <s v="Kentucky"/>
    <s v="Louisville"/>
    <x v="1"/>
    <n v="50"/>
    <x v="1"/>
    <x v="132"/>
    <x v="103"/>
    <x v="1"/>
    <s v="Online"/>
  </r>
  <r>
    <x v="4"/>
    <n v="1002"/>
    <x v="123"/>
    <x v="2"/>
    <s v="New York"/>
    <s v="New York"/>
    <x v="1"/>
    <n v="65"/>
    <x v="98"/>
    <x v="133"/>
    <x v="141"/>
    <x v="12"/>
    <s v="Outlet"/>
  </r>
  <r>
    <x v="4"/>
    <n v="1002"/>
    <x v="124"/>
    <x v="4"/>
    <s v="Texas"/>
    <s v="Houston"/>
    <x v="3"/>
    <n v="43"/>
    <x v="99"/>
    <x v="134"/>
    <x v="142"/>
    <x v="19"/>
    <s v="Online"/>
  </r>
  <r>
    <x v="3"/>
    <n v="1001"/>
    <x v="108"/>
    <x v="3"/>
    <s v="Missouri"/>
    <s v="St. Louis"/>
    <x v="4"/>
    <n v="41"/>
    <x v="33"/>
    <x v="135"/>
    <x v="143"/>
    <x v="19"/>
    <s v="Online"/>
  </r>
  <r>
    <x v="0"/>
    <n v="1004"/>
    <x v="125"/>
    <x v="0"/>
    <s v="California"/>
    <s v="San Francisco"/>
    <x v="2"/>
    <n v="80"/>
    <x v="44"/>
    <x v="136"/>
    <x v="1"/>
    <x v="39"/>
    <s v="Outlet"/>
  </r>
  <r>
    <x v="5"/>
    <n v="1005"/>
    <x v="126"/>
    <x v="0"/>
    <s v="New Mexico"/>
    <s v="Albuquerque"/>
    <x v="5"/>
    <n v="60"/>
    <x v="7"/>
    <x v="57"/>
    <x v="1"/>
    <x v="13"/>
    <s v="Online"/>
  </r>
  <r>
    <x v="3"/>
    <n v="1001"/>
    <x v="127"/>
    <x v="3"/>
    <s v="South Dakota"/>
    <s v="Sioux Falls"/>
    <x v="0"/>
    <n v="40"/>
    <x v="39"/>
    <x v="137"/>
    <x v="48"/>
    <x v="3"/>
    <s v="Online"/>
  </r>
  <r>
    <x v="3"/>
    <n v="1001"/>
    <x v="77"/>
    <x v="3"/>
    <s v="South Dakota"/>
    <s v="Sioux Falls"/>
    <x v="2"/>
    <n v="58"/>
    <x v="61"/>
    <x v="138"/>
    <x v="144"/>
    <x v="9"/>
    <s v="Online"/>
  </r>
  <r>
    <x v="1"/>
    <n v="1006"/>
    <x v="30"/>
    <x v="2"/>
    <s v="New Hampshire"/>
    <s v="Manchester"/>
    <x v="1"/>
    <n v="64"/>
    <x v="29"/>
    <x v="139"/>
    <x v="145"/>
    <x v="24"/>
    <s v="Online"/>
  </r>
  <r>
    <x v="2"/>
    <n v="1003"/>
    <x v="29"/>
    <x v="1"/>
    <s v="North Carolina"/>
    <s v="Charlotte"/>
    <x v="5"/>
    <n v="34"/>
    <x v="40"/>
    <x v="140"/>
    <x v="146"/>
    <x v="9"/>
    <s v="Online"/>
  </r>
  <r>
    <x v="5"/>
    <n v="1005"/>
    <x v="128"/>
    <x v="3"/>
    <s v="Kansas"/>
    <s v="Wichita"/>
    <x v="3"/>
    <n v="49"/>
    <x v="100"/>
    <x v="141"/>
    <x v="147"/>
    <x v="12"/>
    <s v="Online"/>
  </r>
  <r>
    <x v="2"/>
    <n v="1003"/>
    <x v="129"/>
    <x v="4"/>
    <s v="Tennessee"/>
    <s v="Knoxville"/>
    <x v="3"/>
    <n v="55"/>
    <x v="28"/>
    <x v="142"/>
    <x v="148"/>
    <x v="26"/>
    <s v="Outlet"/>
  </r>
  <r>
    <x v="5"/>
    <n v="1005"/>
    <x v="16"/>
    <x v="4"/>
    <s v="Oklahoma"/>
    <s v="Oklahoma City"/>
    <x v="4"/>
    <n v="69"/>
    <x v="101"/>
    <x v="143"/>
    <x v="149"/>
    <x v="10"/>
    <s v="Online"/>
  </r>
  <r>
    <x v="5"/>
    <n v="1005"/>
    <x v="130"/>
    <x v="0"/>
    <s v="California"/>
    <s v="Los Angeles"/>
    <x v="4"/>
    <n v="55"/>
    <x v="102"/>
    <x v="144"/>
    <x v="150"/>
    <x v="40"/>
    <s v="Online"/>
  </r>
  <r>
    <x v="0"/>
    <n v="1004"/>
    <x v="131"/>
    <x v="2"/>
    <s v="Maryland"/>
    <s v="Baltimore"/>
    <x v="2"/>
    <n v="35"/>
    <x v="39"/>
    <x v="145"/>
    <x v="151"/>
    <x v="3"/>
    <s v="In-store"/>
  </r>
  <r>
    <x v="3"/>
    <n v="1001"/>
    <x v="72"/>
    <x v="3"/>
    <s v="Nebraska"/>
    <s v="Omaha"/>
    <x v="5"/>
    <n v="29"/>
    <x v="103"/>
    <x v="146"/>
    <x v="152"/>
    <x v="12"/>
    <s v="Online"/>
  </r>
  <r>
    <x v="3"/>
    <n v="1001"/>
    <x v="132"/>
    <x v="1"/>
    <s v="South Carolina"/>
    <s v="Charleston"/>
    <x v="1"/>
    <n v="33"/>
    <x v="104"/>
    <x v="147"/>
    <x v="153"/>
    <x v="43"/>
    <s v="Online"/>
  </r>
  <r>
    <x v="0"/>
    <n v="1004"/>
    <x v="81"/>
    <x v="2"/>
    <s v="West Virginia"/>
    <s v="Charleston"/>
    <x v="5"/>
    <n v="38"/>
    <x v="105"/>
    <x v="148"/>
    <x v="154"/>
    <x v="44"/>
    <s v="Online"/>
  </r>
  <r>
    <x v="5"/>
    <n v="1005"/>
    <x v="48"/>
    <x v="0"/>
    <s v="New Mexico"/>
    <s v="Albuquerque"/>
    <x v="5"/>
    <n v="46"/>
    <x v="106"/>
    <x v="149"/>
    <x v="155"/>
    <x v="2"/>
    <s v="Online"/>
  </r>
  <r>
    <x v="3"/>
    <n v="1001"/>
    <x v="133"/>
    <x v="0"/>
    <s v="Hawaii"/>
    <s v="Honolulu"/>
    <x v="0"/>
    <n v="55"/>
    <x v="65"/>
    <x v="75"/>
    <x v="156"/>
    <x v="25"/>
    <s v="Outlet"/>
  </r>
  <r>
    <x v="3"/>
    <n v="1001"/>
    <x v="134"/>
    <x v="0"/>
    <s v="Arizona"/>
    <s v="Phoenix"/>
    <x v="5"/>
    <n v="45"/>
    <x v="30"/>
    <x v="150"/>
    <x v="157"/>
    <x v="13"/>
    <s v="Online"/>
  </r>
  <r>
    <x v="0"/>
    <n v="1004"/>
    <x v="135"/>
    <x v="0"/>
    <s v="Washington"/>
    <s v="Seattle"/>
    <x v="1"/>
    <n v="68"/>
    <x v="107"/>
    <x v="151"/>
    <x v="158"/>
    <x v="17"/>
    <s v="Online"/>
  </r>
  <r>
    <x v="0"/>
    <n v="1004"/>
    <x v="136"/>
    <x v="0"/>
    <s v="Washington"/>
    <s v="Seattle"/>
    <x v="4"/>
    <n v="69"/>
    <x v="108"/>
    <x v="152"/>
    <x v="159"/>
    <x v="28"/>
    <s v="Online"/>
  </r>
  <r>
    <x v="3"/>
    <n v="1001"/>
    <x v="137"/>
    <x v="0"/>
    <s v="Washington"/>
    <s v="Seattle"/>
    <x v="1"/>
    <n v="45"/>
    <x v="71"/>
    <x v="153"/>
    <x v="160"/>
    <x v="26"/>
    <s v="In-store"/>
  </r>
  <r>
    <x v="5"/>
    <n v="1005"/>
    <x v="118"/>
    <x v="0"/>
    <s v="California"/>
    <s v="Los Angeles"/>
    <x v="4"/>
    <n v="60"/>
    <x v="48"/>
    <x v="154"/>
    <x v="161"/>
    <x v="8"/>
    <s v="Outlet"/>
  </r>
  <r>
    <x v="3"/>
    <n v="1001"/>
    <x v="138"/>
    <x v="0"/>
    <s v="Arizona"/>
    <s v="Phoenix"/>
    <x v="4"/>
    <n v="54"/>
    <x v="24"/>
    <x v="155"/>
    <x v="162"/>
    <x v="11"/>
    <s v="Online"/>
  </r>
  <r>
    <x v="3"/>
    <n v="1001"/>
    <x v="139"/>
    <x v="1"/>
    <s v="South Carolina"/>
    <s v="Charleston"/>
    <x v="1"/>
    <n v="65"/>
    <x v="109"/>
    <x v="156"/>
    <x v="163"/>
    <x v="26"/>
    <s v="Online"/>
  </r>
  <r>
    <x v="3"/>
    <n v="1001"/>
    <x v="140"/>
    <x v="2"/>
    <s v="Rhode Island"/>
    <s v="Providence"/>
    <x v="4"/>
    <n v="44"/>
    <x v="110"/>
    <x v="157"/>
    <x v="164"/>
    <x v="1"/>
    <s v="Online"/>
  </r>
  <r>
    <x v="0"/>
    <n v="1004"/>
    <x v="141"/>
    <x v="0"/>
    <s v="Utah"/>
    <s v="Salt Lake City"/>
    <x v="1"/>
    <n v="28"/>
    <x v="111"/>
    <x v="158"/>
    <x v="165"/>
    <x v="9"/>
    <s v="Online"/>
  </r>
  <r>
    <x v="0"/>
    <n v="1004"/>
    <x v="142"/>
    <x v="0"/>
    <s v="California"/>
    <s v="San Francisco"/>
    <x v="4"/>
    <n v="59"/>
    <x v="112"/>
    <x v="159"/>
    <x v="166"/>
    <x v="45"/>
    <s v="Outlet"/>
  </r>
  <r>
    <x v="0"/>
    <n v="1004"/>
    <x v="143"/>
    <x v="4"/>
    <s v="Louisiana"/>
    <s v="New Orleans"/>
    <x v="0"/>
    <n v="86"/>
    <x v="113"/>
    <x v="160"/>
    <x v="167"/>
    <x v="15"/>
    <s v="Online"/>
  </r>
  <r>
    <x v="3"/>
    <n v="1001"/>
    <x v="144"/>
    <x v="1"/>
    <s v="South Carolina"/>
    <s v="Charleston"/>
    <x v="4"/>
    <n v="50"/>
    <x v="44"/>
    <x v="161"/>
    <x v="168"/>
    <x v="13"/>
    <s v="Online"/>
  </r>
  <r>
    <x v="5"/>
    <n v="1005"/>
    <x v="145"/>
    <x v="3"/>
    <s v="Montana"/>
    <s v="Billings"/>
    <x v="1"/>
    <n v="40"/>
    <x v="114"/>
    <x v="162"/>
    <x v="169"/>
    <x v="26"/>
    <s v="Outlet"/>
  </r>
  <r>
    <x v="0"/>
    <n v="1004"/>
    <x v="81"/>
    <x v="2"/>
    <s v="West Virginia"/>
    <s v="Charleston"/>
    <x v="3"/>
    <n v="45"/>
    <x v="51"/>
    <x v="103"/>
    <x v="170"/>
    <x v="1"/>
    <s v="In-store"/>
  </r>
  <r>
    <x v="0"/>
    <n v="1004"/>
    <x v="146"/>
    <x v="0"/>
    <s v="Colorado"/>
    <s v="Denver"/>
    <x v="2"/>
    <n v="37"/>
    <x v="115"/>
    <x v="12"/>
    <x v="171"/>
    <x v="46"/>
    <s v="Online"/>
  </r>
  <r>
    <x v="2"/>
    <n v="1003"/>
    <x v="4"/>
    <x v="3"/>
    <s v="South Dakota"/>
    <s v="Sioux Falls"/>
    <x v="4"/>
    <n v="60"/>
    <x v="40"/>
    <x v="163"/>
    <x v="66"/>
    <x v="13"/>
    <s v="Online"/>
  </r>
  <r>
    <x v="3"/>
    <n v="1001"/>
    <x v="147"/>
    <x v="3"/>
    <s v="Minnesota"/>
    <s v="Minneapolis"/>
    <x v="0"/>
    <n v="24"/>
    <x v="24"/>
    <x v="164"/>
    <x v="172"/>
    <x v="4"/>
    <s v="Online"/>
  </r>
  <r>
    <x v="5"/>
    <n v="1005"/>
    <x v="148"/>
    <x v="0"/>
    <s v="New Mexico"/>
    <s v="Albuquerque"/>
    <x v="1"/>
    <n v="60"/>
    <x v="20"/>
    <x v="165"/>
    <x v="173"/>
    <x v="13"/>
    <s v="Online"/>
  </r>
  <r>
    <x v="2"/>
    <n v="1003"/>
    <x v="102"/>
    <x v="4"/>
    <s v="Alabama"/>
    <s v="Birmingham"/>
    <x v="1"/>
    <n v="45"/>
    <x v="116"/>
    <x v="166"/>
    <x v="174"/>
    <x v="18"/>
    <s v="Outlet"/>
  </r>
  <r>
    <x v="2"/>
    <n v="1003"/>
    <x v="72"/>
    <x v="1"/>
    <s v="North Carolina"/>
    <s v="Charlotte"/>
    <x v="0"/>
    <n v="49"/>
    <x v="117"/>
    <x v="167"/>
    <x v="175"/>
    <x v="9"/>
    <s v="Online"/>
  </r>
  <r>
    <x v="0"/>
    <n v="1004"/>
    <x v="95"/>
    <x v="0"/>
    <s v="Utah"/>
    <s v="Salt Lake City"/>
    <x v="0"/>
    <n v="7"/>
    <x v="118"/>
    <x v="168"/>
    <x v="176"/>
    <x v="4"/>
    <s v="Outlet"/>
  </r>
  <r>
    <x v="2"/>
    <n v="1003"/>
    <x v="65"/>
    <x v="1"/>
    <s v="Georgia"/>
    <s v="Atlanta"/>
    <x v="5"/>
    <n v="42"/>
    <x v="40"/>
    <x v="169"/>
    <x v="177"/>
    <x v="0"/>
    <s v="Outlet"/>
  </r>
  <r>
    <x v="5"/>
    <n v="1005"/>
    <x v="149"/>
    <x v="3"/>
    <s v="Montana"/>
    <s v="Billings"/>
    <x v="5"/>
    <n v="43"/>
    <x v="49"/>
    <x v="170"/>
    <x v="178"/>
    <x v="45"/>
    <s v="Online"/>
  </r>
  <r>
    <x v="3"/>
    <n v="1001"/>
    <x v="150"/>
    <x v="3"/>
    <s v="Nebraska"/>
    <s v="Omaha"/>
    <x v="4"/>
    <n v="48"/>
    <x v="87"/>
    <x v="171"/>
    <x v="179"/>
    <x v="26"/>
    <s v="Online"/>
  </r>
  <r>
    <x v="3"/>
    <n v="1001"/>
    <x v="111"/>
    <x v="0"/>
    <s v="Hawaii"/>
    <s v="Honolulu"/>
    <x v="5"/>
    <n v="71"/>
    <x v="119"/>
    <x v="172"/>
    <x v="180"/>
    <x v="30"/>
    <s v="Online"/>
  </r>
  <r>
    <x v="2"/>
    <n v="1003"/>
    <x v="151"/>
    <x v="4"/>
    <s v="Tennessee"/>
    <s v="Knoxville"/>
    <x v="4"/>
    <n v="30"/>
    <x v="40"/>
    <x v="173"/>
    <x v="181"/>
    <x v="5"/>
    <s v="Outlet"/>
  </r>
  <r>
    <x v="3"/>
    <n v="1001"/>
    <x v="22"/>
    <x v="3"/>
    <s v="Missouri"/>
    <s v="St. Louis"/>
    <x v="1"/>
    <n v="32"/>
    <x v="54"/>
    <x v="64"/>
    <x v="182"/>
    <x v="12"/>
    <s v="Online"/>
  </r>
  <r>
    <x v="4"/>
    <n v="1002"/>
    <x v="81"/>
    <x v="1"/>
    <s v="Florida"/>
    <s v="Orlando"/>
    <x v="0"/>
    <n v="80"/>
    <x v="66"/>
    <x v="174"/>
    <x v="183"/>
    <x v="3"/>
    <s v="In-store"/>
  </r>
  <r>
    <x v="2"/>
    <n v="1003"/>
    <x v="80"/>
    <x v="3"/>
    <s v="Michigan"/>
    <s v="Detroit"/>
    <x v="4"/>
    <n v="45"/>
    <x v="30"/>
    <x v="150"/>
    <x v="184"/>
    <x v="1"/>
    <s v="In-store"/>
  </r>
  <r>
    <x v="4"/>
    <n v="1002"/>
    <x v="152"/>
    <x v="4"/>
    <s v="Arkansas"/>
    <s v="Little Rock"/>
    <x v="5"/>
    <n v="27"/>
    <x v="100"/>
    <x v="175"/>
    <x v="185"/>
    <x v="17"/>
    <s v="Outlet"/>
  </r>
  <r>
    <x v="5"/>
    <n v="1005"/>
    <x v="153"/>
    <x v="0"/>
    <s v="California"/>
    <s v="Los Angeles"/>
    <x v="5"/>
    <n v="50"/>
    <x v="52"/>
    <x v="176"/>
    <x v="77"/>
    <x v="1"/>
    <s v="Outlet"/>
  </r>
  <r>
    <x v="2"/>
    <n v="1003"/>
    <x v="154"/>
    <x v="4"/>
    <s v="Texas"/>
    <s v="Dallas"/>
    <x v="4"/>
    <n v="60"/>
    <x v="66"/>
    <x v="177"/>
    <x v="186"/>
    <x v="13"/>
    <s v="Outlet"/>
  </r>
  <r>
    <x v="0"/>
    <n v="1004"/>
    <x v="155"/>
    <x v="0"/>
    <s v="Nevada"/>
    <s v="Las Vegas"/>
    <x v="1"/>
    <n v="31"/>
    <x v="111"/>
    <x v="178"/>
    <x v="187"/>
    <x v="26"/>
    <s v="Outlet"/>
  </r>
  <r>
    <x v="2"/>
    <n v="1003"/>
    <x v="156"/>
    <x v="4"/>
    <s v="Tennessee"/>
    <s v="Knoxville"/>
    <x v="3"/>
    <n v="24"/>
    <x v="120"/>
    <x v="179"/>
    <x v="188"/>
    <x v="9"/>
    <s v="Online"/>
  </r>
  <r>
    <x v="2"/>
    <n v="1003"/>
    <x v="9"/>
    <x v="4"/>
    <s v="Tennessee"/>
    <s v="Knoxville"/>
    <x v="3"/>
    <n v="40"/>
    <x v="83"/>
    <x v="180"/>
    <x v="189"/>
    <x v="1"/>
    <s v="Outlet"/>
  </r>
  <r>
    <x v="0"/>
    <n v="1004"/>
    <x v="157"/>
    <x v="0"/>
    <s v="Oregon"/>
    <s v="Portland"/>
    <x v="2"/>
    <n v="55"/>
    <x v="121"/>
    <x v="181"/>
    <x v="190"/>
    <x v="29"/>
    <s v="Outlet"/>
  </r>
  <r>
    <x v="2"/>
    <n v="1003"/>
    <x v="158"/>
    <x v="3"/>
    <s v="South Dakota"/>
    <s v="Sioux Falls"/>
    <x v="3"/>
    <n v="50"/>
    <x v="51"/>
    <x v="30"/>
    <x v="191"/>
    <x v="3"/>
    <s v="Online"/>
  </r>
  <r>
    <x v="3"/>
    <n v="1001"/>
    <x v="159"/>
    <x v="0"/>
    <s v="Arizona"/>
    <s v="Phoenix"/>
    <x v="3"/>
    <n v="50"/>
    <x v="18"/>
    <x v="18"/>
    <x v="18"/>
    <x v="1"/>
    <s v="Online"/>
  </r>
  <r>
    <x v="4"/>
    <n v="1002"/>
    <x v="12"/>
    <x v="1"/>
    <s v="Florida"/>
    <s v="Orlando"/>
    <x v="5"/>
    <n v="60"/>
    <x v="51"/>
    <x v="182"/>
    <x v="170"/>
    <x v="3"/>
    <s v="In-store"/>
  </r>
  <r>
    <x v="2"/>
    <n v="1003"/>
    <x v="160"/>
    <x v="4"/>
    <s v="Texas"/>
    <s v="Dallas"/>
    <x v="1"/>
    <n v="20"/>
    <x v="44"/>
    <x v="183"/>
    <x v="192"/>
    <x v="13"/>
    <s v="Outlet"/>
  </r>
  <r>
    <x v="1"/>
    <n v="1006"/>
    <x v="3"/>
    <x v="2"/>
    <s v="Vermont"/>
    <s v="Burlington"/>
    <x v="0"/>
    <n v="60"/>
    <x v="34"/>
    <x v="60"/>
    <x v="193"/>
    <x v="13"/>
    <s v="In-store"/>
  </r>
  <r>
    <x v="0"/>
    <n v="1004"/>
    <x v="161"/>
    <x v="0"/>
    <s v="California"/>
    <s v="San Francisco"/>
    <x v="1"/>
    <n v="52"/>
    <x v="112"/>
    <x v="184"/>
    <x v="194"/>
    <x v="47"/>
    <s v="Online"/>
  </r>
  <r>
    <x v="5"/>
    <n v="1005"/>
    <x v="91"/>
    <x v="2"/>
    <s v="New Jersey"/>
    <s v="Newark"/>
    <x v="4"/>
    <n v="50"/>
    <x v="4"/>
    <x v="185"/>
    <x v="195"/>
    <x v="3"/>
    <s v="In-store"/>
  </r>
  <r>
    <x v="3"/>
    <n v="1001"/>
    <x v="162"/>
    <x v="3"/>
    <s v="North Dakota"/>
    <s v="Fargo"/>
    <x v="2"/>
    <n v="60"/>
    <x v="19"/>
    <x v="186"/>
    <x v="196"/>
    <x v="9"/>
    <s v="Online"/>
  </r>
  <r>
    <x v="5"/>
    <n v="1005"/>
    <x v="163"/>
    <x v="0"/>
    <s v="California"/>
    <s v="Los Angeles"/>
    <x v="1"/>
    <n v="34"/>
    <x v="32"/>
    <x v="187"/>
    <x v="197"/>
    <x v="24"/>
    <s v="Online"/>
  </r>
  <r>
    <x v="3"/>
    <n v="1001"/>
    <x v="164"/>
    <x v="3"/>
    <s v="Iowa"/>
    <s v="Des Moines"/>
    <x v="4"/>
    <n v="40"/>
    <x v="40"/>
    <x v="48"/>
    <x v="198"/>
    <x v="12"/>
    <s v="In-store"/>
  </r>
  <r>
    <x v="0"/>
    <n v="1004"/>
    <x v="165"/>
    <x v="0"/>
    <s v="Idaho"/>
    <s v="Boise"/>
    <x v="2"/>
    <n v="25"/>
    <x v="79"/>
    <x v="188"/>
    <x v="199"/>
    <x v="24"/>
    <s v="Outlet"/>
  </r>
  <r>
    <x v="3"/>
    <n v="1001"/>
    <x v="166"/>
    <x v="0"/>
    <s v="Arizona"/>
    <s v="Phoenix"/>
    <x v="2"/>
    <n v="65"/>
    <x v="122"/>
    <x v="189"/>
    <x v="200"/>
    <x v="1"/>
    <s v="Online"/>
  </r>
  <r>
    <x v="0"/>
    <n v="1004"/>
    <x v="167"/>
    <x v="1"/>
    <s v="Florida"/>
    <s v="Miami"/>
    <x v="0"/>
    <n v="40"/>
    <x v="83"/>
    <x v="180"/>
    <x v="108"/>
    <x v="3"/>
    <s v="In-store"/>
  </r>
  <r>
    <x v="3"/>
    <n v="1001"/>
    <x v="168"/>
    <x v="3"/>
    <s v="Illinois"/>
    <s v="Chicago"/>
    <x v="0"/>
    <n v="48"/>
    <x v="123"/>
    <x v="190"/>
    <x v="201"/>
    <x v="24"/>
    <s v="Online"/>
  </r>
  <r>
    <x v="3"/>
    <n v="1001"/>
    <x v="115"/>
    <x v="2"/>
    <s v="West Virginia"/>
    <s v="Charleston"/>
    <x v="2"/>
    <n v="70"/>
    <x v="81"/>
    <x v="117"/>
    <x v="202"/>
    <x v="1"/>
    <s v="In-store"/>
  </r>
  <r>
    <x v="0"/>
    <n v="1004"/>
    <x v="169"/>
    <x v="0"/>
    <s v="Nevada"/>
    <s v="Las Vegas"/>
    <x v="2"/>
    <n v="56"/>
    <x v="124"/>
    <x v="191"/>
    <x v="203"/>
    <x v="48"/>
    <s v="Outlet"/>
  </r>
  <r>
    <x v="0"/>
    <n v="1004"/>
    <x v="32"/>
    <x v="0"/>
    <s v="Oregon"/>
    <s v="Portland"/>
    <x v="0"/>
    <n v="74"/>
    <x v="68"/>
    <x v="192"/>
    <x v="204"/>
    <x v="12"/>
    <s v="Online"/>
  </r>
  <r>
    <x v="2"/>
    <n v="1003"/>
    <x v="170"/>
    <x v="2"/>
    <s v="Rhode Island"/>
    <s v="Providence"/>
    <x v="4"/>
    <n v="60"/>
    <x v="39"/>
    <x v="193"/>
    <x v="66"/>
    <x v="3"/>
    <s v="In-store"/>
  </r>
  <r>
    <x v="2"/>
    <n v="1003"/>
    <x v="151"/>
    <x v="1"/>
    <s v="Georgia"/>
    <s v="Atlanta"/>
    <x v="2"/>
    <n v="70"/>
    <x v="82"/>
    <x v="194"/>
    <x v="205"/>
    <x v="25"/>
    <s v="Online"/>
  </r>
  <r>
    <x v="3"/>
    <n v="1001"/>
    <x v="9"/>
    <x v="1"/>
    <s v="Virginia"/>
    <s v="Richmond"/>
    <x v="1"/>
    <n v="30"/>
    <x v="125"/>
    <x v="195"/>
    <x v="206"/>
    <x v="28"/>
    <s v="Outlet"/>
  </r>
  <r>
    <x v="0"/>
    <n v="1004"/>
    <x v="171"/>
    <x v="0"/>
    <s v="Utah"/>
    <s v="Salt Lake City"/>
    <x v="5"/>
    <n v="14"/>
    <x v="89"/>
    <x v="196"/>
    <x v="207"/>
    <x v="4"/>
    <s v="Online"/>
  </r>
  <r>
    <x v="3"/>
    <n v="1001"/>
    <x v="62"/>
    <x v="2"/>
    <s v="West Virginia"/>
    <s v="Charleston"/>
    <x v="3"/>
    <n v="35"/>
    <x v="32"/>
    <x v="41"/>
    <x v="208"/>
    <x v="13"/>
    <s v="In-store"/>
  </r>
  <r>
    <x v="2"/>
    <n v="1003"/>
    <x v="158"/>
    <x v="3"/>
    <s v="South Dakota"/>
    <s v="Sioux Falls"/>
    <x v="2"/>
    <n v="65"/>
    <x v="51"/>
    <x v="60"/>
    <x v="108"/>
    <x v="1"/>
    <s v="Online"/>
  </r>
  <r>
    <x v="5"/>
    <n v="1005"/>
    <x v="172"/>
    <x v="3"/>
    <s v="Montana"/>
    <s v="Billings"/>
    <x v="3"/>
    <n v="42"/>
    <x v="23"/>
    <x v="197"/>
    <x v="209"/>
    <x v="11"/>
    <s v="Online"/>
  </r>
  <r>
    <x v="4"/>
    <n v="1002"/>
    <x v="22"/>
    <x v="4"/>
    <s v="Arkansas"/>
    <s v="Little Rock"/>
    <x v="4"/>
    <n v="25"/>
    <x v="34"/>
    <x v="198"/>
    <x v="210"/>
    <x v="13"/>
    <s v="Online"/>
  </r>
  <r>
    <x v="0"/>
    <n v="1004"/>
    <x v="173"/>
    <x v="0"/>
    <s v="Idaho"/>
    <s v="Boise"/>
    <x v="5"/>
    <n v="50"/>
    <x v="126"/>
    <x v="199"/>
    <x v="211"/>
    <x v="1"/>
    <s v="Online"/>
  </r>
  <r>
    <x v="3"/>
    <n v="1001"/>
    <x v="174"/>
    <x v="2"/>
    <s v="Pennsylvania"/>
    <s v="Philadelphia"/>
    <x v="1"/>
    <n v="70"/>
    <x v="30"/>
    <x v="132"/>
    <x v="212"/>
    <x v="8"/>
    <s v="Outlet"/>
  </r>
  <r>
    <x v="0"/>
    <n v="1004"/>
    <x v="175"/>
    <x v="0"/>
    <s v="Colorado"/>
    <s v="Denver"/>
    <x v="0"/>
    <n v="65"/>
    <x v="7"/>
    <x v="180"/>
    <x v="213"/>
    <x v="13"/>
    <s v="In-store"/>
  </r>
  <r>
    <x v="5"/>
    <n v="1005"/>
    <x v="140"/>
    <x v="2"/>
    <s v="New Jersey"/>
    <s v="Newark"/>
    <x v="4"/>
    <n v="45"/>
    <x v="127"/>
    <x v="173"/>
    <x v="214"/>
    <x v="3"/>
    <s v="In-store"/>
  </r>
  <r>
    <x v="3"/>
    <n v="1001"/>
    <x v="77"/>
    <x v="2"/>
    <s v="Delaware"/>
    <s v="Wilmington"/>
    <x v="4"/>
    <n v="50"/>
    <x v="12"/>
    <x v="200"/>
    <x v="215"/>
    <x v="0"/>
    <s v="Online"/>
  </r>
  <r>
    <x v="0"/>
    <n v="1004"/>
    <x v="95"/>
    <x v="0"/>
    <s v="Utah"/>
    <s v="Salt Lake City"/>
    <x v="0"/>
    <n v="10"/>
    <x v="36"/>
    <x v="201"/>
    <x v="216"/>
    <x v="9"/>
    <s v="Online"/>
  </r>
  <r>
    <x v="2"/>
    <n v="1003"/>
    <x v="176"/>
    <x v="1"/>
    <s v="North Carolina"/>
    <s v="Charlotte"/>
    <x v="1"/>
    <n v="70"/>
    <x v="128"/>
    <x v="202"/>
    <x v="217"/>
    <x v="1"/>
    <s v="Online"/>
  </r>
  <r>
    <x v="2"/>
    <n v="1003"/>
    <x v="177"/>
    <x v="4"/>
    <s v="Tennessee"/>
    <s v="Knoxville"/>
    <x v="4"/>
    <n v="28"/>
    <x v="55"/>
    <x v="203"/>
    <x v="218"/>
    <x v="26"/>
    <s v="Online"/>
  </r>
  <r>
    <x v="1"/>
    <n v="1006"/>
    <x v="45"/>
    <x v="2"/>
    <s v="Vermont"/>
    <s v="Burlington"/>
    <x v="3"/>
    <n v="50"/>
    <x v="129"/>
    <x v="204"/>
    <x v="219"/>
    <x v="49"/>
    <s v="Online"/>
  </r>
  <r>
    <x v="2"/>
    <n v="1003"/>
    <x v="178"/>
    <x v="1"/>
    <s v="Georgia"/>
    <s v="Atlanta"/>
    <x v="0"/>
    <n v="55"/>
    <x v="7"/>
    <x v="7"/>
    <x v="7"/>
    <x v="1"/>
    <s v="Online"/>
  </r>
  <r>
    <x v="0"/>
    <n v="1004"/>
    <x v="179"/>
    <x v="4"/>
    <s v="Oklahoma"/>
    <s v="Oklahoma City"/>
    <x v="3"/>
    <n v="33"/>
    <x v="36"/>
    <x v="205"/>
    <x v="220"/>
    <x v="26"/>
    <s v="Online"/>
  </r>
  <r>
    <x v="3"/>
    <n v="1001"/>
    <x v="25"/>
    <x v="2"/>
    <s v="Rhode Island"/>
    <s v="Providence"/>
    <x v="1"/>
    <n v="53"/>
    <x v="122"/>
    <x v="206"/>
    <x v="221"/>
    <x v="12"/>
    <s v="Online"/>
  </r>
  <r>
    <x v="3"/>
    <n v="1001"/>
    <x v="158"/>
    <x v="2"/>
    <s v="Pennsylvania"/>
    <s v="Philadelphia"/>
    <x v="5"/>
    <n v="41"/>
    <x v="130"/>
    <x v="207"/>
    <x v="222"/>
    <x v="26"/>
    <s v="Online"/>
  </r>
  <r>
    <x v="5"/>
    <n v="1005"/>
    <x v="69"/>
    <x v="4"/>
    <s v="Oklahoma"/>
    <s v="Oklahoma City"/>
    <x v="0"/>
    <n v="52"/>
    <x v="33"/>
    <x v="186"/>
    <x v="223"/>
    <x v="24"/>
    <s v="Online"/>
  </r>
  <r>
    <x v="3"/>
    <n v="1001"/>
    <x v="84"/>
    <x v="3"/>
    <s v="Iowa"/>
    <s v="Des Moines"/>
    <x v="0"/>
    <n v="35"/>
    <x v="96"/>
    <x v="125"/>
    <x v="134"/>
    <x v="3"/>
    <s v="In-store"/>
  </r>
  <r>
    <x v="0"/>
    <n v="1004"/>
    <x v="169"/>
    <x v="0"/>
    <s v="Nevada"/>
    <s v="Las Vegas"/>
    <x v="2"/>
    <n v="75"/>
    <x v="18"/>
    <x v="208"/>
    <x v="224"/>
    <x v="39"/>
    <s v="In-store"/>
  </r>
  <r>
    <x v="0"/>
    <n v="1004"/>
    <x v="93"/>
    <x v="4"/>
    <s v="Louisiana"/>
    <s v="New Orleans"/>
    <x v="0"/>
    <n v="33"/>
    <x v="131"/>
    <x v="209"/>
    <x v="225"/>
    <x v="21"/>
    <s v="Outlet"/>
  </r>
  <r>
    <x v="0"/>
    <n v="1004"/>
    <x v="66"/>
    <x v="0"/>
    <s v="California"/>
    <s v="San Francisco"/>
    <x v="4"/>
    <n v="59"/>
    <x v="39"/>
    <x v="210"/>
    <x v="226"/>
    <x v="50"/>
    <s v="Online"/>
  </r>
  <r>
    <x v="1"/>
    <n v="1006"/>
    <x v="3"/>
    <x v="2"/>
    <s v="Vermont"/>
    <s v="Burlington"/>
    <x v="0"/>
    <n v="56"/>
    <x v="101"/>
    <x v="211"/>
    <x v="227"/>
    <x v="26"/>
    <s v="Online"/>
  </r>
  <r>
    <x v="1"/>
    <n v="1006"/>
    <x v="180"/>
    <x v="2"/>
    <s v="New Hampshire"/>
    <s v="Manchester"/>
    <x v="2"/>
    <n v="33"/>
    <x v="131"/>
    <x v="209"/>
    <x v="228"/>
    <x v="41"/>
    <s v="Outlet"/>
  </r>
  <r>
    <x v="0"/>
    <n v="1004"/>
    <x v="82"/>
    <x v="3"/>
    <s v="Missouri"/>
    <s v="St. Louis"/>
    <x v="5"/>
    <n v="14"/>
    <x v="106"/>
    <x v="212"/>
    <x v="229"/>
    <x v="2"/>
    <s v="Online"/>
  </r>
  <r>
    <x v="3"/>
    <n v="1001"/>
    <x v="22"/>
    <x v="3"/>
    <s v="Missouri"/>
    <s v="St. Louis"/>
    <x v="5"/>
    <n v="14"/>
    <x v="33"/>
    <x v="213"/>
    <x v="230"/>
    <x v="19"/>
    <s v="Online"/>
  </r>
  <r>
    <x v="4"/>
    <n v="1002"/>
    <x v="181"/>
    <x v="4"/>
    <s v="Mississippi"/>
    <s v="Jackson"/>
    <x v="4"/>
    <n v="25"/>
    <x v="42"/>
    <x v="33"/>
    <x v="231"/>
    <x v="0"/>
    <s v="Outlet"/>
  </r>
  <r>
    <x v="0"/>
    <n v="1004"/>
    <x v="182"/>
    <x v="0"/>
    <s v="Nevada"/>
    <s v="Las Vegas"/>
    <x v="5"/>
    <n v="60"/>
    <x v="53"/>
    <x v="214"/>
    <x v="232"/>
    <x v="13"/>
    <s v="In-store"/>
  </r>
  <r>
    <x v="3"/>
    <n v="1001"/>
    <x v="78"/>
    <x v="3"/>
    <s v="Missouri"/>
    <s v="St. Louis"/>
    <x v="0"/>
    <n v="25"/>
    <x v="34"/>
    <x v="198"/>
    <x v="233"/>
    <x v="1"/>
    <s v="In-store"/>
  </r>
  <r>
    <x v="3"/>
    <n v="1001"/>
    <x v="55"/>
    <x v="1"/>
    <s v="Virginia"/>
    <s v="Richmond"/>
    <x v="4"/>
    <n v="64"/>
    <x v="132"/>
    <x v="215"/>
    <x v="234"/>
    <x v="9"/>
    <s v="Online"/>
  </r>
  <r>
    <x v="3"/>
    <n v="1001"/>
    <x v="30"/>
    <x v="3"/>
    <s v="Illinois"/>
    <s v="Chicago"/>
    <x v="2"/>
    <n v="50"/>
    <x v="122"/>
    <x v="216"/>
    <x v="235"/>
    <x v="40"/>
    <s v="Online"/>
  </r>
  <r>
    <x v="1"/>
    <n v="1006"/>
    <x v="88"/>
    <x v="3"/>
    <s v="Ohio"/>
    <s v="Columbus"/>
    <x v="5"/>
    <n v="27"/>
    <x v="132"/>
    <x v="217"/>
    <x v="236"/>
    <x v="24"/>
    <s v="Online"/>
  </r>
  <r>
    <x v="2"/>
    <n v="1003"/>
    <x v="183"/>
    <x v="4"/>
    <s v="Texas"/>
    <s v="Dallas"/>
    <x v="1"/>
    <n v="19"/>
    <x v="133"/>
    <x v="218"/>
    <x v="237"/>
    <x v="12"/>
    <s v="Online"/>
  </r>
  <r>
    <x v="4"/>
    <n v="1002"/>
    <x v="184"/>
    <x v="4"/>
    <s v="Arkansas"/>
    <s v="Little Rock"/>
    <x v="0"/>
    <n v="19"/>
    <x v="31"/>
    <x v="219"/>
    <x v="238"/>
    <x v="44"/>
    <s v="Online"/>
  </r>
  <r>
    <x v="3"/>
    <n v="1001"/>
    <x v="76"/>
    <x v="1"/>
    <s v="South Carolina"/>
    <s v="Charleston"/>
    <x v="2"/>
    <n v="65"/>
    <x v="4"/>
    <x v="123"/>
    <x v="189"/>
    <x v="14"/>
    <s v="Online"/>
  </r>
  <r>
    <x v="3"/>
    <n v="1001"/>
    <x v="185"/>
    <x v="2"/>
    <s v="Rhode Island"/>
    <s v="Providence"/>
    <x v="0"/>
    <n v="40"/>
    <x v="40"/>
    <x v="48"/>
    <x v="239"/>
    <x v="1"/>
    <s v="In-store"/>
  </r>
  <r>
    <x v="3"/>
    <n v="1001"/>
    <x v="186"/>
    <x v="2"/>
    <s v="Maryland"/>
    <s v="Baltimore"/>
    <x v="4"/>
    <n v="54"/>
    <x v="78"/>
    <x v="220"/>
    <x v="240"/>
    <x v="11"/>
    <s v="Online"/>
  </r>
  <r>
    <x v="2"/>
    <n v="1003"/>
    <x v="24"/>
    <x v="0"/>
    <s v="New Mexico"/>
    <s v="Albuquerque"/>
    <x v="5"/>
    <n v="40"/>
    <x v="81"/>
    <x v="182"/>
    <x v="106"/>
    <x v="13"/>
    <s v="Online"/>
  </r>
  <r>
    <x v="3"/>
    <n v="1001"/>
    <x v="5"/>
    <x v="4"/>
    <s v="Louisiana"/>
    <s v="New Orleans"/>
    <x v="1"/>
    <n v="18"/>
    <x v="17"/>
    <x v="221"/>
    <x v="241"/>
    <x v="35"/>
    <s v="Outlet"/>
  </r>
  <r>
    <x v="0"/>
    <n v="1004"/>
    <x v="82"/>
    <x v="0"/>
    <s v="California"/>
    <s v="San Francisco"/>
    <x v="2"/>
    <n v="60"/>
    <x v="134"/>
    <x v="222"/>
    <x v="242"/>
    <x v="46"/>
    <s v="Outlet"/>
  </r>
  <r>
    <x v="0"/>
    <n v="1004"/>
    <x v="95"/>
    <x v="0"/>
    <s v="Utah"/>
    <s v="Salt Lake City"/>
    <x v="4"/>
    <n v="20"/>
    <x v="34"/>
    <x v="223"/>
    <x v="243"/>
    <x v="13"/>
    <s v="In-store"/>
  </r>
  <r>
    <x v="1"/>
    <n v="1006"/>
    <x v="187"/>
    <x v="2"/>
    <s v="Maine"/>
    <s v="Portland"/>
    <x v="4"/>
    <n v="55"/>
    <x v="40"/>
    <x v="42"/>
    <x v="244"/>
    <x v="25"/>
    <s v="Outlet"/>
  </r>
  <r>
    <x v="3"/>
    <n v="1001"/>
    <x v="188"/>
    <x v="4"/>
    <s v="Mississippi"/>
    <s v="Jackson"/>
    <x v="4"/>
    <n v="45"/>
    <x v="7"/>
    <x v="182"/>
    <x v="106"/>
    <x v="13"/>
    <s v="Online"/>
  </r>
  <r>
    <x v="5"/>
    <n v="1005"/>
    <x v="110"/>
    <x v="0"/>
    <s v="New Mexico"/>
    <s v="Albuquerque"/>
    <x v="5"/>
    <n v="56"/>
    <x v="60"/>
    <x v="224"/>
    <x v="245"/>
    <x v="2"/>
    <s v="Online"/>
  </r>
  <r>
    <x v="3"/>
    <n v="1001"/>
    <x v="189"/>
    <x v="2"/>
    <s v="Delaware"/>
    <s v="Wilmington"/>
    <x v="5"/>
    <n v="41"/>
    <x v="135"/>
    <x v="225"/>
    <x v="246"/>
    <x v="15"/>
    <s v="Online"/>
  </r>
  <r>
    <x v="4"/>
    <n v="1002"/>
    <x v="36"/>
    <x v="1"/>
    <s v="Florida"/>
    <s v="Orlando"/>
    <x v="1"/>
    <n v="47"/>
    <x v="136"/>
    <x v="226"/>
    <x v="247"/>
    <x v="30"/>
    <s v="Outlet"/>
  </r>
  <r>
    <x v="1"/>
    <n v="1006"/>
    <x v="78"/>
    <x v="2"/>
    <s v="New Hampshire"/>
    <s v="Manchester"/>
    <x v="2"/>
    <n v="64"/>
    <x v="132"/>
    <x v="215"/>
    <x v="248"/>
    <x v="2"/>
    <s v="Online"/>
  </r>
  <r>
    <x v="5"/>
    <n v="1005"/>
    <x v="190"/>
    <x v="3"/>
    <s v="Minnesota"/>
    <s v="Minneapolis"/>
    <x v="3"/>
    <n v="43"/>
    <x v="115"/>
    <x v="227"/>
    <x v="249"/>
    <x v="0"/>
    <s v="Online"/>
  </r>
  <r>
    <x v="4"/>
    <n v="1002"/>
    <x v="191"/>
    <x v="4"/>
    <s v="Texas"/>
    <s v="Houston"/>
    <x v="2"/>
    <n v="38"/>
    <x v="82"/>
    <x v="228"/>
    <x v="250"/>
    <x v="45"/>
    <s v="Outlet"/>
  </r>
  <r>
    <x v="3"/>
    <n v="1001"/>
    <x v="140"/>
    <x v="2"/>
    <s v="Rhode Island"/>
    <s v="Providence"/>
    <x v="4"/>
    <n v="45"/>
    <x v="130"/>
    <x v="229"/>
    <x v="251"/>
    <x v="3"/>
    <s v="In-store"/>
  </r>
  <r>
    <x v="3"/>
    <n v="1001"/>
    <x v="192"/>
    <x v="2"/>
    <s v="Pennsylvania"/>
    <s v="Philadelphia"/>
    <x v="0"/>
    <n v="48"/>
    <x v="137"/>
    <x v="230"/>
    <x v="252"/>
    <x v="26"/>
    <s v="Online"/>
  </r>
  <r>
    <x v="5"/>
    <n v="1005"/>
    <x v="193"/>
    <x v="3"/>
    <s v="Montana"/>
    <s v="Billings"/>
    <x v="1"/>
    <n v="32"/>
    <x v="23"/>
    <x v="231"/>
    <x v="253"/>
    <x v="8"/>
    <s v="Online"/>
  </r>
  <r>
    <x v="4"/>
    <n v="1002"/>
    <x v="194"/>
    <x v="4"/>
    <s v="Arkansas"/>
    <s v="Little Rock"/>
    <x v="0"/>
    <n v="35"/>
    <x v="73"/>
    <x v="232"/>
    <x v="254"/>
    <x v="27"/>
    <s v="Outlet"/>
  </r>
  <r>
    <x v="2"/>
    <n v="1003"/>
    <x v="195"/>
    <x v="2"/>
    <s v="Connecticut"/>
    <s v="Hartford"/>
    <x v="2"/>
    <n v="55"/>
    <x v="138"/>
    <x v="233"/>
    <x v="255"/>
    <x v="19"/>
    <s v="Online"/>
  </r>
  <r>
    <x v="0"/>
    <n v="1004"/>
    <x v="117"/>
    <x v="2"/>
    <s v="New York"/>
    <s v="Albany"/>
    <x v="5"/>
    <n v="50"/>
    <x v="1"/>
    <x v="132"/>
    <x v="256"/>
    <x v="25"/>
    <s v="In-store"/>
  </r>
  <r>
    <x v="5"/>
    <n v="1005"/>
    <x v="110"/>
    <x v="0"/>
    <s v="New Mexico"/>
    <s v="Albuquerque"/>
    <x v="0"/>
    <n v="43"/>
    <x v="139"/>
    <x v="234"/>
    <x v="257"/>
    <x v="11"/>
    <s v="Outlet"/>
  </r>
  <r>
    <x v="3"/>
    <n v="1001"/>
    <x v="159"/>
    <x v="0"/>
    <s v="Arizona"/>
    <s v="Phoenix"/>
    <x v="5"/>
    <n v="31"/>
    <x v="118"/>
    <x v="235"/>
    <x v="258"/>
    <x v="41"/>
    <s v="Outlet"/>
  </r>
  <r>
    <x v="3"/>
    <n v="1001"/>
    <x v="196"/>
    <x v="4"/>
    <s v="Mississippi"/>
    <s v="Jackson"/>
    <x v="0"/>
    <n v="43"/>
    <x v="25"/>
    <x v="236"/>
    <x v="259"/>
    <x v="12"/>
    <s v="Online"/>
  </r>
  <r>
    <x v="0"/>
    <n v="1004"/>
    <x v="197"/>
    <x v="0"/>
    <s v="Colorado"/>
    <s v="Denver"/>
    <x v="0"/>
    <n v="53"/>
    <x v="129"/>
    <x v="237"/>
    <x v="260"/>
    <x v="4"/>
    <s v="Online"/>
  </r>
  <r>
    <x v="3"/>
    <n v="1001"/>
    <x v="198"/>
    <x v="0"/>
    <s v="Arizona"/>
    <s v="Phoenix"/>
    <x v="4"/>
    <n v="55"/>
    <x v="17"/>
    <x v="17"/>
    <x v="261"/>
    <x v="3"/>
    <s v="Online"/>
  </r>
  <r>
    <x v="5"/>
    <n v="1005"/>
    <x v="199"/>
    <x v="0"/>
    <s v="California"/>
    <s v="San Francisco"/>
    <x v="3"/>
    <n v="45"/>
    <x v="44"/>
    <x v="117"/>
    <x v="125"/>
    <x v="25"/>
    <s v="Outlet"/>
  </r>
  <r>
    <x v="2"/>
    <n v="1003"/>
    <x v="200"/>
    <x v="1"/>
    <s v="Georgia"/>
    <s v="Atlanta"/>
    <x v="0"/>
    <n v="32"/>
    <x v="140"/>
    <x v="238"/>
    <x v="262"/>
    <x v="17"/>
    <s v="Outlet"/>
  </r>
  <r>
    <x v="5"/>
    <n v="1005"/>
    <x v="148"/>
    <x v="0"/>
    <s v="New Mexico"/>
    <s v="Albuquerque"/>
    <x v="1"/>
    <n v="58"/>
    <x v="107"/>
    <x v="239"/>
    <x v="263"/>
    <x v="19"/>
    <s v="Online"/>
  </r>
  <r>
    <x v="1"/>
    <n v="1006"/>
    <x v="50"/>
    <x v="2"/>
    <s v="New Hampshire"/>
    <s v="Manchester"/>
    <x v="5"/>
    <n v="43"/>
    <x v="139"/>
    <x v="234"/>
    <x v="264"/>
    <x v="30"/>
    <s v="Outlet"/>
  </r>
  <r>
    <x v="3"/>
    <n v="1001"/>
    <x v="201"/>
    <x v="3"/>
    <s v="Nebraska"/>
    <s v="Omaha"/>
    <x v="1"/>
    <n v="38"/>
    <x v="27"/>
    <x v="240"/>
    <x v="265"/>
    <x v="15"/>
    <s v="Online"/>
  </r>
  <r>
    <x v="3"/>
    <n v="1001"/>
    <x v="79"/>
    <x v="0"/>
    <s v="Hawaii"/>
    <s v="Honolulu"/>
    <x v="2"/>
    <n v="55"/>
    <x v="34"/>
    <x v="241"/>
    <x v="266"/>
    <x v="1"/>
    <s v="Outlet"/>
  </r>
  <r>
    <x v="0"/>
    <n v="1004"/>
    <x v="202"/>
    <x v="0"/>
    <s v="Oregon"/>
    <s v="Portland"/>
    <x v="3"/>
    <n v="31"/>
    <x v="79"/>
    <x v="242"/>
    <x v="267"/>
    <x v="21"/>
    <s v="Outlet"/>
  </r>
  <r>
    <x v="0"/>
    <n v="1004"/>
    <x v="72"/>
    <x v="0"/>
    <s v="Idaho"/>
    <s v="Boise"/>
    <x v="0"/>
    <n v="50"/>
    <x v="20"/>
    <x v="243"/>
    <x v="268"/>
    <x v="26"/>
    <s v="Online"/>
  </r>
  <r>
    <x v="2"/>
    <n v="1003"/>
    <x v="72"/>
    <x v="1"/>
    <s v="North Carolina"/>
    <s v="Charlotte"/>
    <x v="5"/>
    <n v="50"/>
    <x v="114"/>
    <x v="244"/>
    <x v="269"/>
    <x v="1"/>
    <s v="Online"/>
  </r>
  <r>
    <x v="1"/>
    <n v="1006"/>
    <x v="6"/>
    <x v="3"/>
    <s v="Ohio"/>
    <s v="Columbus"/>
    <x v="3"/>
    <n v="60"/>
    <x v="83"/>
    <x v="245"/>
    <x v="270"/>
    <x v="13"/>
    <s v="Online"/>
  </r>
  <r>
    <x v="3"/>
    <n v="1001"/>
    <x v="203"/>
    <x v="3"/>
    <s v="Kansas"/>
    <s v="Wichita"/>
    <x v="4"/>
    <n v="50"/>
    <x v="39"/>
    <x v="54"/>
    <x v="271"/>
    <x v="13"/>
    <s v="Online"/>
  </r>
  <r>
    <x v="4"/>
    <n v="1002"/>
    <x v="204"/>
    <x v="0"/>
    <s v="Hawaii"/>
    <s v="Honolulu"/>
    <x v="3"/>
    <n v="70"/>
    <x v="20"/>
    <x v="246"/>
    <x v="272"/>
    <x v="34"/>
    <s v="Outlet"/>
  </r>
  <r>
    <x v="4"/>
    <n v="1002"/>
    <x v="205"/>
    <x v="4"/>
    <s v="Texas"/>
    <s v="Houston"/>
    <x v="5"/>
    <n v="40"/>
    <x v="141"/>
    <x v="247"/>
    <x v="273"/>
    <x v="13"/>
    <s v="Outlet"/>
  </r>
  <r>
    <x v="3"/>
    <n v="1001"/>
    <x v="206"/>
    <x v="0"/>
    <s v="Arizona"/>
    <s v="Phoenix"/>
    <x v="3"/>
    <n v="50"/>
    <x v="142"/>
    <x v="248"/>
    <x v="274"/>
    <x v="9"/>
    <s v="Online"/>
  </r>
  <r>
    <x v="2"/>
    <n v="1003"/>
    <x v="133"/>
    <x v="4"/>
    <s v="Tennessee"/>
    <s v="Knoxville"/>
    <x v="5"/>
    <n v="55"/>
    <x v="48"/>
    <x v="165"/>
    <x v="275"/>
    <x v="26"/>
    <s v="Outlet"/>
  </r>
  <r>
    <x v="3"/>
    <n v="1001"/>
    <x v="207"/>
    <x v="0"/>
    <s v="Washington"/>
    <s v="Seattle"/>
    <x v="3"/>
    <n v="45"/>
    <x v="143"/>
    <x v="249"/>
    <x v="276"/>
    <x v="13"/>
    <s v="In-store"/>
  </r>
  <r>
    <x v="2"/>
    <n v="1003"/>
    <x v="163"/>
    <x v="2"/>
    <s v="Massachusetts"/>
    <s v="Boston"/>
    <x v="0"/>
    <n v="35"/>
    <x v="51"/>
    <x v="193"/>
    <x v="55"/>
    <x v="25"/>
    <s v="In-store"/>
  </r>
  <r>
    <x v="5"/>
    <n v="1005"/>
    <x v="208"/>
    <x v="0"/>
    <s v="Wyoming"/>
    <s v="Cheyenne"/>
    <x v="0"/>
    <n v="39"/>
    <x v="2"/>
    <x v="250"/>
    <x v="277"/>
    <x v="12"/>
    <s v="Online"/>
  </r>
  <r>
    <x v="5"/>
    <n v="1005"/>
    <x v="138"/>
    <x v="0"/>
    <s v="California"/>
    <s v="Los Angeles"/>
    <x v="0"/>
    <n v="45"/>
    <x v="20"/>
    <x v="20"/>
    <x v="20"/>
    <x v="13"/>
    <s v="Outlet"/>
  </r>
  <r>
    <x v="1"/>
    <n v="1006"/>
    <x v="209"/>
    <x v="0"/>
    <s v="Alaska"/>
    <s v="Anchorage"/>
    <x v="1"/>
    <n v="55"/>
    <x v="1"/>
    <x v="251"/>
    <x v="278"/>
    <x v="13"/>
    <s v="Outlet"/>
  </r>
  <r>
    <x v="3"/>
    <n v="1001"/>
    <x v="210"/>
    <x v="4"/>
    <s v="Tennessee"/>
    <s v="Knoxville"/>
    <x v="3"/>
    <n v="32"/>
    <x v="6"/>
    <x v="252"/>
    <x v="279"/>
    <x v="19"/>
    <s v="Online"/>
  </r>
  <r>
    <x v="3"/>
    <n v="1001"/>
    <x v="211"/>
    <x v="3"/>
    <s v="Minnesota"/>
    <s v="Minneapolis"/>
    <x v="4"/>
    <n v="49"/>
    <x v="144"/>
    <x v="253"/>
    <x v="280"/>
    <x v="0"/>
    <s v="Online"/>
  </r>
  <r>
    <x v="1"/>
    <n v="1006"/>
    <x v="0"/>
    <x v="1"/>
    <s v="North Carolina"/>
    <s v="Charlotte"/>
    <x v="3"/>
    <n v="33"/>
    <x v="106"/>
    <x v="254"/>
    <x v="281"/>
    <x v="12"/>
    <s v="Online"/>
  </r>
  <r>
    <x v="2"/>
    <n v="1003"/>
    <x v="24"/>
    <x v="0"/>
    <s v="New Mexico"/>
    <s v="Albuquerque"/>
    <x v="5"/>
    <n v="38"/>
    <x v="60"/>
    <x v="255"/>
    <x v="282"/>
    <x v="26"/>
    <s v="Online"/>
  </r>
  <r>
    <x v="3"/>
    <n v="1001"/>
    <x v="62"/>
    <x v="2"/>
    <s v="West Virginia"/>
    <s v="Charleston"/>
    <x v="2"/>
    <n v="35"/>
    <x v="32"/>
    <x v="41"/>
    <x v="41"/>
    <x v="3"/>
    <s v="In-store"/>
  </r>
  <r>
    <x v="2"/>
    <n v="1003"/>
    <x v="21"/>
    <x v="4"/>
    <s v="Texas"/>
    <s v="Dallas"/>
    <x v="0"/>
    <n v="28"/>
    <x v="145"/>
    <x v="256"/>
    <x v="203"/>
    <x v="26"/>
    <s v="Outlet"/>
  </r>
  <r>
    <x v="3"/>
    <n v="1001"/>
    <x v="111"/>
    <x v="0"/>
    <s v="Hawaii"/>
    <s v="Honolulu"/>
    <x v="3"/>
    <n v="72"/>
    <x v="102"/>
    <x v="257"/>
    <x v="283"/>
    <x v="7"/>
    <s v="Online"/>
  </r>
  <r>
    <x v="3"/>
    <n v="1001"/>
    <x v="8"/>
    <x v="1"/>
    <s v="Virginia"/>
    <s v="Richmond"/>
    <x v="3"/>
    <n v="50"/>
    <x v="83"/>
    <x v="258"/>
    <x v="284"/>
    <x v="13"/>
    <s v="In-store"/>
  </r>
  <r>
    <x v="3"/>
    <n v="1001"/>
    <x v="212"/>
    <x v="3"/>
    <s v="Iowa"/>
    <s v="Des Moines"/>
    <x v="2"/>
    <n v="46"/>
    <x v="14"/>
    <x v="259"/>
    <x v="285"/>
    <x v="44"/>
    <s v="Online"/>
  </r>
  <r>
    <x v="3"/>
    <n v="1001"/>
    <x v="110"/>
    <x v="3"/>
    <s v="Nebraska"/>
    <s v="Omaha"/>
    <x v="1"/>
    <n v="32"/>
    <x v="100"/>
    <x v="256"/>
    <x v="286"/>
    <x v="15"/>
    <s v="Online"/>
  </r>
  <r>
    <x v="2"/>
    <n v="1003"/>
    <x v="213"/>
    <x v="2"/>
    <s v="Connecticut"/>
    <s v="Hartford"/>
    <x v="5"/>
    <n v="29"/>
    <x v="118"/>
    <x v="260"/>
    <x v="287"/>
    <x v="29"/>
    <s v="Outlet"/>
  </r>
  <r>
    <x v="0"/>
    <n v="1004"/>
    <x v="64"/>
    <x v="4"/>
    <s v="Louisiana"/>
    <s v="New Orleans"/>
    <x v="2"/>
    <n v="110"/>
    <x v="146"/>
    <x v="261"/>
    <x v="288"/>
    <x v="13"/>
    <s v="Online"/>
  </r>
  <r>
    <x v="0"/>
    <n v="1004"/>
    <x v="214"/>
    <x v="0"/>
    <s v="Colorado"/>
    <s v="Denver"/>
    <x v="2"/>
    <n v="70"/>
    <x v="82"/>
    <x v="194"/>
    <x v="192"/>
    <x v="34"/>
    <s v="In-store"/>
  </r>
  <r>
    <x v="2"/>
    <n v="1003"/>
    <x v="80"/>
    <x v="4"/>
    <s v="Tennessee"/>
    <s v="Knoxville"/>
    <x v="2"/>
    <n v="24"/>
    <x v="124"/>
    <x v="262"/>
    <x v="289"/>
    <x v="24"/>
    <s v="Outlet"/>
  </r>
  <r>
    <x v="5"/>
    <n v="1005"/>
    <x v="173"/>
    <x v="2"/>
    <s v="New Jersey"/>
    <s v="Newark"/>
    <x v="5"/>
    <n v="40"/>
    <x v="51"/>
    <x v="263"/>
    <x v="290"/>
    <x v="1"/>
    <s v="In-store"/>
  </r>
  <r>
    <x v="5"/>
    <n v="1005"/>
    <x v="215"/>
    <x v="0"/>
    <s v="California"/>
    <s v="Los Angeles"/>
    <x v="1"/>
    <n v="49"/>
    <x v="32"/>
    <x v="264"/>
    <x v="32"/>
    <x v="9"/>
    <s v="Online"/>
  </r>
  <r>
    <x v="1"/>
    <n v="1006"/>
    <x v="216"/>
    <x v="2"/>
    <s v="Maine"/>
    <s v="Portland"/>
    <x v="0"/>
    <n v="45"/>
    <x v="39"/>
    <x v="41"/>
    <x v="41"/>
    <x v="3"/>
    <s v="Outlet"/>
  </r>
  <r>
    <x v="2"/>
    <n v="1003"/>
    <x v="189"/>
    <x v="2"/>
    <s v="Massachusetts"/>
    <s v="Boston"/>
    <x v="2"/>
    <n v="55"/>
    <x v="115"/>
    <x v="265"/>
    <x v="291"/>
    <x v="0"/>
    <s v="Online"/>
  </r>
  <r>
    <x v="3"/>
    <n v="1001"/>
    <x v="217"/>
    <x v="0"/>
    <s v="Idaho"/>
    <s v="Boise"/>
    <x v="3"/>
    <n v="40"/>
    <x v="30"/>
    <x v="30"/>
    <x v="292"/>
    <x v="1"/>
    <s v="Online"/>
  </r>
  <r>
    <x v="2"/>
    <n v="1003"/>
    <x v="183"/>
    <x v="4"/>
    <s v="Texas"/>
    <s v="Dallas"/>
    <x v="1"/>
    <n v="13"/>
    <x v="147"/>
    <x v="266"/>
    <x v="293"/>
    <x v="28"/>
    <s v="Outlet"/>
  </r>
  <r>
    <x v="3"/>
    <n v="1001"/>
    <x v="218"/>
    <x v="1"/>
    <s v="Virginia"/>
    <s v="Richmond"/>
    <x v="4"/>
    <n v="49"/>
    <x v="148"/>
    <x v="267"/>
    <x v="294"/>
    <x v="9"/>
    <s v="Online"/>
  </r>
  <r>
    <x v="2"/>
    <n v="1003"/>
    <x v="219"/>
    <x v="4"/>
    <s v="Texas"/>
    <s v="Houston"/>
    <x v="1"/>
    <n v="30"/>
    <x v="76"/>
    <x v="132"/>
    <x v="295"/>
    <x v="13"/>
    <s v="Outlet"/>
  </r>
  <r>
    <x v="2"/>
    <n v="1003"/>
    <x v="220"/>
    <x v="0"/>
    <s v="Idaho"/>
    <s v="Boise"/>
    <x v="2"/>
    <n v="44"/>
    <x v="149"/>
    <x v="268"/>
    <x v="296"/>
    <x v="51"/>
    <s v="Outlet"/>
  </r>
  <r>
    <x v="3"/>
    <n v="1001"/>
    <x v="196"/>
    <x v="3"/>
    <s v="Missouri"/>
    <s v="St. Louis"/>
    <x v="2"/>
    <n v="42"/>
    <x v="142"/>
    <x v="269"/>
    <x v="297"/>
    <x v="40"/>
    <s v="Online"/>
  </r>
  <r>
    <x v="1"/>
    <n v="1006"/>
    <x v="141"/>
    <x v="3"/>
    <s v="Ohio"/>
    <s v="Columbus"/>
    <x v="4"/>
    <n v="62"/>
    <x v="40"/>
    <x v="270"/>
    <x v="298"/>
    <x v="2"/>
    <s v="Online"/>
  </r>
  <r>
    <x v="0"/>
    <n v="1004"/>
    <x v="221"/>
    <x v="0"/>
    <s v="Colorado"/>
    <s v="Denver"/>
    <x v="5"/>
    <n v="64"/>
    <x v="40"/>
    <x v="271"/>
    <x v="299"/>
    <x v="14"/>
    <s v="Online"/>
  </r>
  <r>
    <x v="0"/>
    <n v="1004"/>
    <x v="222"/>
    <x v="4"/>
    <s v="Oklahoma"/>
    <s v="Oklahoma City"/>
    <x v="3"/>
    <n v="18"/>
    <x v="150"/>
    <x v="272"/>
    <x v="300"/>
    <x v="5"/>
    <s v="Outlet"/>
  </r>
  <r>
    <x v="5"/>
    <n v="1005"/>
    <x v="223"/>
    <x v="4"/>
    <s v="Oklahoma"/>
    <s v="Oklahoma City"/>
    <x v="5"/>
    <n v="15"/>
    <x v="51"/>
    <x v="173"/>
    <x v="301"/>
    <x v="13"/>
    <s v="Online"/>
  </r>
  <r>
    <x v="2"/>
    <n v="1003"/>
    <x v="213"/>
    <x v="2"/>
    <s v="Connecticut"/>
    <s v="Hartford"/>
    <x v="5"/>
    <n v="44"/>
    <x v="101"/>
    <x v="273"/>
    <x v="302"/>
    <x v="17"/>
    <s v="Online"/>
  </r>
  <r>
    <x v="3"/>
    <n v="1001"/>
    <x v="224"/>
    <x v="1"/>
    <s v="South Carolina"/>
    <s v="Charleston"/>
    <x v="4"/>
    <n v="65"/>
    <x v="151"/>
    <x v="274"/>
    <x v="49"/>
    <x v="13"/>
    <s v="Online"/>
  </r>
  <r>
    <x v="1"/>
    <n v="1006"/>
    <x v="225"/>
    <x v="3"/>
    <s v="Ohio"/>
    <s v="Columbus"/>
    <x v="3"/>
    <n v="40"/>
    <x v="17"/>
    <x v="107"/>
    <x v="115"/>
    <x v="13"/>
    <s v="Online"/>
  </r>
  <r>
    <x v="1"/>
    <n v="1006"/>
    <x v="226"/>
    <x v="2"/>
    <s v="Vermont"/>
    <s v="Burlington"/>
    <x v="2"/>
    <n v="65"/>
    <x v="18"/>
    <x v="258"/>
    <x v="303"/>
    <x v="1"/>
    <s v="In-store"/>
  </r>
  <r>
    <x v="2"/>
    <n v="1003"/>
    <x v="77"/>
    <x v="2"/>
    <s v="Massachusetts"/>
    <s v="Boston"/>
    <x v="0"/>
    <n v="32"/>
    <x v="16"/>
    <x v="275"/>
    <x v="304"/>
    <x v="3"/>
    <s v="Outlet"/>
  </r>
  <r>
    <x v="2"/>
    <n v="1003"/>
    <x v="227"/>
    <x v="2"/>
    <s v="Rhode Island"/>
    <s v="Providence"/>
    <x v="2"/>
    <n v="38"/>
    <x v="152"/>
    <x v="276"/>
    <x v="305"/>
    <x v="11"/>
    <s v="Online"/>
  </r>
  <r>
    <x v="3"/>
    <n v="1001"/>
    <x v="32"/>
    <x v="3"/>
    <s v="Illinois"/>
    <s v="Chicago"/>
    <x v="1"/>
    <n v="58"/>
    <x v="153"/>
    <x v="277"/>
    <x v="306"/>
    <x v="15"/>
    <s v="Online"/>
  </r>
  <r>
    <x v="5"/>
    <n v="1005"/>
    <x v="228"/>
    <x v="0"/>
    <s v="Wyoming"/>
    <s v="Cheyenne"/>
    <x v="4"/>
    <n v="49"/>
    <x v="154"/>
    <x v="278"/>
    <x v="307"/>
    <x v="17"/>
    <s v="Online"/>
  </r>
  <r>
    <x v="0"/>
    <n v="1004"/>
    <x v="36"/>
    <x v="4"/>
    <s v="Louisiana"/>
    <s v="New Orleans"/>
    <x v="5"/>
    <n v="52"/>
    <x v="42"/>
    <x v="279"/>
    <x v="308"/>
    <x v="9"/>
    <s v="Online"/>
  </r>
  <r>
    <x v="0"/>
    <n v="1004"/>
    <x v="157"/>
    <x v="0"/>
    <s v="Oregon"/>
    <s v="Portland"/>
    <x v="4"/>
    <n v="54"/>
    <x v="155"/>
    <x v="280"/>
    <x v="309"/>
    <x v="2"/>
    <s v="Outlet"/>
  </r>
  <r>
    <x v="2"/>
    <n v="1003"/>
    <x v="229"/>
    <x v="1"/>
    <s v="North Carolina"/>
    <s v="Charlotte"/>
    <x v="1"/>
    <n v="28"/>
    <x v="156"/>
    <x v="281"/>
    <x v="310"/>
    <x v="15"/>
    <s v="Online"/>
  </r>
  <r>
    <x v="0"/>
    <n v="1004"/>
    <x v="64"/>
    <x v="4"/>
    <s v="Louisiana"/>
    <s v="New Orleans"/>
    <x v="0"/>
    <n v="85"/>
    <x v="77"/>
    <x v="282"/>
    <x v="311"/>
    <x v="1"/>
    <s v="Online"/>
  </r>
  <r>
    <x v="0"/>
    <n v="1004"/>
    <x v="131"/>
    <x v="2"/>
    <s v="Maryland"/>
    <s v="Baltimore"/>
    <x v="0"/>
    <n v="30"/>
    <x v="157"/>
    <x v="283"/>
    <x v="312"/>
    <x v="13"/>
    <s v="In-store"/>
  </r>
  <r>
    <x v="3"/>
    <n v="1001"/>
    <x v="230"/>
    <x v="2"/>
    <s v="New York"/>
    <s v="New York"/>
    <x v="4"/>
    <n v="47"/>
    <x v="13"/>
    <x v="284"/>
    <x v="313"/>
    <x v="13"/>
    <s v="Outlet"/>
  </r>
  <r>
    <x v="0"/>
    <n v="1004"/>
    <x v="62"/>
    <x v="0"/>
    <s v="Utah"/>
    <s v="Salt Lake City"/>
    <x v="0"/>
    <n v="30"/>
    <x v="61"/>
    <x v="285"/>
    <x v="314"/>
    <x v="28"/>
    <s v="Outlet"/>
  </r>
  <r>
    <x v="2"/>
    <n v="1003"/>
    <x v="29"/>
    <x v="0"/>
    <s v="Idaho"/>
    <s v="Boise"/>
    <x v="4"/>
    <n v="32"/>
    <x v="88"/>
    <x v="286"/>
    <x v="315"/>
    <x v="10"/>
    <s v="Online"/>
  </r>
  <r>
    <x v="3"/>
    <n v="1001"/>
    <x v="77"/>
    <x v="3"/>
    <s v="South Dakota"/>
    <s v="Sioux Falls"/>
    <x v="5"/>
    <n v="43"/>
    <x v="108"/>
    <x v="287"/>
    <x v="316"/>
    <x v="0"/>
    <s v="Online"/>
  </r>
  <r>
    <x v="5"/>
    <n v="1005"/>
    <x v="116"/>
    <x v="0"/>
    <s v="California"/>
    <s v="Los Angeles"/>
    <x v="3"/>
    <n v="54"/>
    <x v="158"/>
    <x v="288"/>
    <x v="317"/>
    <x v="28"/>
    <s v="Online"/>
  </r>
  <r>
    <x v="3"/>
    <n v="1001"/>
    <x v="231"/>
    <x v="1"/>
    <s v="Virginia"/>
    <s v="Richmond"/>
    <x v="4"/>
    <n v="29"/>
    <x v="103"/>
    <x v="146"/>
    <x v="318"/>
    <x v="26"/>
    <s v="Outlet"/>
  </r>
  <r>
    <x v="3"/>
    <n v="1001"/>
    <x v="232"/>
    <x v="1"/>
    <s v="Georgia"/>
    <s v="Atlanta"/>
    <x v="0"/>
    <n v="51"/>
    <x v="115"/>
    <x v="289"/>
    <x v="319"/>
    <x v="12"/>
    <s v="Online"/>
  </r>
  <r>
    <x v="0"/>
    <n v="1004"/>
    <x v="3"/>
    <x v="0"/>
    <s v="Utah"/>
    <s v="Salt Lake City"/>
    <x v="4"/>
    <n v="38"/>
    <x v="27"/>
    <x v="240"/>
    <x v="320"/>
    <x v="12"/>
    <s v="Online"/>
  </r>
  <r>
    <x v="0"/>
    <n v="1004"/>
    <x v="64"/>
    <x v="4"/>
    <s v="Louisiana"/>
    <s v="New Orleans"/>
    <x v="2"/>
    <n v="80"/>
    <x v="90"/>
    <x v="290"/>
    <x v="321"/>
    <x v="11"/>
    <s v="Outlet"/>
  </r>
  <r>
    <x v="1"/>
    <n v="1006"/>
    <x v="85"/>
    <x v="3"/>
    <s v="Ohio"/>
    <s v="Columbus"/>
    <x v="3"/>
    <n v="25"/>
    <x v="18"/>
    <x v="185"/>
    <x v="322"/>
    <x v="13"/>
    <s v="Online"/>
  </r>
  <r>
    <x v="3"/>
    <n v="1001"/>
    <x v="77"/>
    <x v="2"/>
    <s v="Delaware"/>
    <s v="Wilmington"/>
    <x v="1"/>
    <n v="55"/>
    <x v="159"/>
    <x v="291"/>
    <x v="323"/>
    <x v="13"/>
    <s v="In-store"/>
  </r>
  <r>
    <x v="3"/>
    <n v="1001"/>
    <x v="233"/>
    <x v="2"/>
    <s v="New York"/>
    <s v="New York"/>
    <x v="1"/>
    <n v="60"/>
    <x v="160"/>
    <x v="292"/>
    <x v="324"/>
    <x v="12"/>
    <s v="Outlet"/>
  </r>
  <r>
    <x v="0"/>
    <n v="1004"/>
    <x v="234"/>
    <x v="0"/>
    <s v="Nevada"/>
    <s v="Las Vegas"/>
    <x v="4"/>
    <n v="49"/>
    <x v="145"/>
    <x v="293"/>
    <x v="325"/>
    <x v="52"/>
    <s v="Outlet"/>
  </r>
  <r>
    <x v="4"/>
    <n v="1002"/>
    <x v="235"/>
    <x v="4"/>
    <s v="Texas"/>
    <s v="Houston"/>
    <x v="3"/>
    <n v="44"/>
    <x v="161"/>
    <x v="294"/>
    <x v="326"/>
    <x v="10"/>
    <s v="Online"/>
  </r>
  <r>
    <x v="1"/>
    <n v="1006"/>
    <x v="122"/>
    <x v="1"/>
    <s v="Kentucky"/>
    <s v="Louisville"/>
    <x v="0"/>
    <n v="32"/>
    <x v="16"/>
    <x v="275"/>
    <x v="327"/>
    <x v="9"/>
    <s v="Online"/>
  </r>
  <r>
    <x v="5"/>
    <n v="1005"/>
    <x v="236"/>
    <x v="0"/>
    <s v="New Mexico"/>
    <s v="Albuquerque"/>
    <x v="0"/>
    <n v="35"/>
    <x v="27"/>
    <x v="295"/>
    <x v="328"/>
    <x v="0"/>
    <s v="Outlet"/>
  </r>
  <r>
    <x v="5"/>
    <n v="1005"/>
    <x v="17"/>
    <x v="0"/>
    <s v="California"/>
    <s v="Los Angeles"/>
    <x v="5"/>
    <n v="49"/>
    <x v="120"/>
    <x v="296"/>
    <x v="329"/>
    <x v="9"/>
    <s v="Online"/>
  </r>
  <r>
    <x v="3"/>
    <n v="1001"/>
    <x v="185"/>
    <x v="2"/>
    <s v="Rhode Island"/>
    <s v="Providence"/>
    <x v="2"/>
    <n v="52"/>
    <x v="105"/>
    <x v="67"/>
    <x v="330"/>
    <x v="15"/>
    <s v="Online"/>
  </r>
  <r>
    <x v="2"/>
    <n v="1003"/>
    <x v="72"/>
    <x v="1"/>
    <s v="North Carolina"/>
    <s v="Charlotte"/>
    <x v="4"/>
    <n v="61"/>
    <x v="5"/>
    <x v="297"/>
    <x v="331"/>
    <x v="19"/>
    <s v="Online"/>
  </r>
  <r>
    <x v="2"/>
    <n v="1003"/>
    <x v="153"/>
    <x v="3"/>
    <s v="North Dakota"/>
    <s v="Fargo"/>
    <x v="3"/>
    <n v="28"/>
    <x v="162"/>
    <x v="298"/>
    <x v="332"/>
    <x v="27"/>
    <s v="Online"/>
  </r>
  <r>
    <x v="2"/>
    <n v="1003"/>
    <x v="237"/>
    <x v="1"/>
    <s v="Georgia"/>
    <s v="Atlanta"/>
    <x v="3"/>
    <n v="50"/>
    <x v="48"/>
    <x v="96"/>
    <x v="58"/>
    <x v="1"/>
    <s v="Online"/>
  </r>
  <r>
    <x v="2"/>
    <n v="1003"/>
    <x v="218"/>
    <x v="4"/>
    <s v="Tennessee"/>
    <s v="Knoxville"/>
    <x v="0"/>
    <n v="42"/>
    <x v="97"/>
    <x v="299"/>
    <x v="333"/>
    <x v="53"/>
    <s v="Online"/>
  </r>
  <r>
    <x v="0"/>
    <n v="1004"/>
    <x v="194"/>
    <x v="4"/>
    <s v="Oklahoma"/>
    <s v="Oklahoma City"/>
    <x v="5"/>
    <n v="44"/>
    <x v="122"/>
    <x v="300"/>
    <x v="334"/>
    <x v="15"/>
    <s v="Online"/>
  </r>
  <r>
    <x v="1"/>
    <n v="1006"/>
    <x v="57"/>
    <x v="0"/>
    <s v="Alaska"/>
    <s v="Anchorage"/>
    <x v="0"/>
    <n v="51"/>
    <x v="33"/>
    <x v="301"/>
    <x v="335"/>
    <x v="28"/>
    <s v="Online"/>
  </r>
  <r>
    <x v="3"/>
    <n v="1001"/>
    <x v="238"/>
    <x v="4"/>
    <s v="Texas"/>
    <s v="Dallas"/>
    <x v="5"/>
    <n v="28"/>
    <x v="62"/>
    <x v="302"/>
    <x v="336"/>
    <x v="0"/>
    <s v="Outlet"/>
  </r>
  <r>
    <x v="0"/>
    <n v="1004"/>
    <x v="239"/>
    <x v="0"/>
    <s v="Colorado"/>
    <s v="Denver"/>
    <x v="2"/>
    <n v="80"/>
    <x v="66"/>
    <x v="174"/>
    <x v="183"/>
    <x v="3"/>
    <s v="In-store"/>
  </r>
  <r>
    <x v="0"/>
    <n v="1004"/>
    <x v="240"/>
    <x v="3"/>
    <s v="Iowa"/>
    <s v="Des Moines"/>
    <x v="1"/>
    <n v="45"/>
    <x v="7"/>
    <x v="182"/>
    <x v="170"/>
    <x v="3"/>
    <s v="In-store"/>
  </r>
  <r>
    <x v="3"/>
    <n v="1001"/>
    <x v="241"/>
    <x v="2"/>
    <s v="New York"/>
    <s v="New York"/>
    <x v="3"/>
    <n v="50"/>
    <x v="163"/>
    <x v="303"/>
    <x v="337"/>
    <x v="1"/>
    <s v="Online"/>
  </r>
  <r>
    <x v="4"/>
    <n v="1002"/>
    <x v="242"/>
    <x v="4"/>
    <s v="Texas"/>
    <s v="Houston"/>
    <x v="5"/>
    <n v="34"/>
    <x v="164"/>
    <x v="304"/>
    <x v="338"/>
    <x v="5"/>
    <s v="Outlet"/>
  </r>
  <r>
    <x v="3"/>
    <n v="1001"/>
    <x v="91"/>
    <x v="2"/>
    <s v="Rhode Island"/>
    <s v="Providence"/>
    <x v="0"/>
    <n v="26"/>
    <x v="152"/>
    <x v="305"/>
    <x v="339"/>
    <x v="4"/>
    <s v="Outlet"/>
  </r>
  <r>
    <x v="0"/>
    <n v="1004"/>
    <x v="243"/>
    <x v="2"/>
    <s v="West Virginia"/>
    <s v="Charleston"/>
    <x v="0"/>
    <n v="32"/>
    <x v="165"/>
    <x v="306"/>
    <x v="340"/>
    <x v="24"/>
    <s v="Online"/>
  </r>
  <r>
    <x v="2"/>
    <n v="1003"/>
    <x v="187"/>
    <x v="0"/>
    <s v="New Mexico"/>
    <s v="Albuquerque"/>
    <x v="5"/>
    <n v="60"/>
    <x v="18"/>
    <x v="96"/>
    <x v="103"/>
    <x v="13"/>
    <s v="Online"/>
  </r>
  <r>
    <x v="2"/>
    <n v="1003"/>
    <x v="170"/>
    <x v="2"/>
    <s v="Rhode Island"/>
    <s v="Providence"/>
    <x v="2"/>
    <n v="65"/>
    <x v="65"/>
    <x v="241"/>
    <x v="266"/>
    <x v="1"/>
    <s v="In-store"/>
  </r>
  <r>
    <x v="2"/>
    <n v="1003"/>
    <x v="28"/>
    <x v="4"/>
    <s v="Texas"/>
    <s v="Dallas"/>
    <x v="0"/>
    <n v="45"/>
    <x v="53"/>
    <x v="63"/>
    <x v="341"/>
    <x v="12"/>
    <s v="Outlet"/>
  </r>
  <r>
    <x v="0"/>
    <n v="1004"/>
    <x v="117"/>
    <x v="3"/>
    <s v="Indiana"/>
    <s v="Indianapolis"/>
    <x v="0"/>
    <n v="35"/>
    <x v="40"/>
    <x v="307"/>
    <x v="151"/>
    <x v="13"/>
    <s v="In-store"/>
  </r>
  <r>
    <x v="0"/>
    <n v="1004"/>
    <x v="244"/>
    <x v="0"/>
    <s v="Colorado"/>
    <s v="Denver"/>
    <x v="5"/>
    <n v="67"/>
    <x v="59"/>
    <x v="308"/>
    <x v="342"/>
    <x v="8"/>
    <s v="Online"/>
  </r>
  <r>
    <x v="1"/>
    <n v="1006"/>
    <x v="245"/>
    <x v="2"/>
    <s v="Massachusetts"/>
    <s v="Boston"/>
    <x v="3"/>
    <n v="45"/>
    <x v="34"/>
    <x v="34"/>
    <x v="343"/>
    <x v="26"/>
    <s v="In-store"/>
  </r>
  <r>
    <x v="0"/>
    <n v="1004"/>
    <x v="246"/>
    <x v="4"/>
    <s v="Arkansas"/>
    <s v="Little Rock"/>
    <x v="3"/>
    <n v="17"/>
    <x v="47"/>
    <x v="309"/>
    <x v="344"/>
    <x v="5"/>
    <s v="Outlet"/>
  </r>
  <r>
    <x v="3"/>
    <n v="1001"/>
    <x v="56"/>
    <x v="2"/>
    <s v="Pennsylvania"/>
    <s v="Philadelphia"/>
    <x v="1"/>
    <n v="65"/>
    <x v="18"/>
    <x v="258"/>
    <x v="345"/>
    <x v="8"/>
    <s v="Outlet"/>
  </r>
  <r>
    <x v="1"/>
    <n v="1006"/>
    <x v="38"/>
    <x v="2"/>
    <s v="Maine"/>
    <s v="Portland"/>
    <x v="3"/>
    <n v="46"/>
    <x v="55"/>
    <x v="310"/>
    <x v="346"/>
    <x v="10"/>
    <s v="Online"/>
  </r>
  <r>
    <x v="0"/>
    <n v="1004"/>
    <x v="54"/>
    <x v="3"/>
    <s v="Wisconsin"/>
    <s v="Milwaukee"/>
    <x v="2"/>
    <n v="49"/>
    <x v="166"/>
    <x v="311"/>
    <x v="347"/>
    <x v="8"/>
    <s v="Online"/>
  </r>
  <r>
    <x v="5"/>
    <n v="1005"/>
    <x v="247"/>
    <x v="2"/>
    <s v="New York"/>
    <s v="Albany"/>
    <x v="1"/>
    <n v="37"/>
    <x v="167"/>
    <x v="312"/>
    <x v="348"/>
    <x v="32"/>
    <s v="Online"/>
  </r>
  <r>
    <x v="3"/>
    <n v="1001"/>
    <x v="248"/>
    <x v="3"/>
    <s v="Nebraska"/>
    <s v="Omaha"/>
    <x v="2"/>
    <n v="35"/>
    <x v="17"/>
    <x v="137"/>
    <x v="349"/>
    <x v="12"/>
    <s v="Outlet"/>
  </r>
  <r>
    <x v="0"/>
    <n v="1004"/>
    <x v="39"/>
    <x v="0"/>
    <s v="Colorado"/>
    <s v="Denver"/>
    <x v="4"/>
    <n v="70"/>
    <x v="34"/>
    <x v="313"/>
    <x v="350"/>
    <x v="54"/>
    <s v="In-store"/>
  </r>
  <r>
    <x v="2"/>
    <n v="1003"/>
    <x v="54"/>
    <x v="1"/>
    <s v="North Carolina"/>
    <s v="Charlotte"/>
    <x v="0"/>
    <n v="25"/>
    <x v="18"/>
    <x v="185"/>
    <x v="351"/>
    <x v="1"/>
    <s v="Online"/>
  </r>
  <r>
    <x v="2"/>
    <n v="1003"/>
    <x v="20"/>
    <x v="4"/>
    <s v="Texas"/>
    <s v="Houston"/>
    <x v="2"/>
    <n v="25"/>
    <x v="168"/>
    <x v="314"/>
    <x v="352"/>
    <x v="23"/>
    <s v="Outlet"/>
  </r>
  <r>
    <x v="0"/>
    <n v="1004"/>
    <x v="249"/>
    <x v="0"/>
    <s v="Washington"/>
    <s v="Seattle"/>
    <x v="3"/>
    <n v="58"/>
    <x v="67"/>
    <x v="315"/>
    <x v="353"/>
    <x v="30"/>
    <s v="Online"/>
  </r>
  <r>
    <x v="5"/>
    <n v="1005"/>
    <x v="250"/>
    <x v="0"/>
    <s v="California"/>
    <s v="Los Angeles"/>
    <x v="5"/>
    <n v="45"/>
    <x v="5"/>
    <x v="316"/>
    <x v="354"/>
    <x v="44"/>
    <s v="Online"/>
  </r>
  <r>
    <x v="3"/>
    <n v="1001"/>
    <x v="140"/>
    <x v="2"/>
    <s v="Rhode Island"/>
    <s v="Providence"/>
    <x v="3"/>
    <n v="32"/>
    <x v="169"/>
    <x v="317"/>
    <x v="355"/>
    <x v="12"/>
    <s v="Online"/>
  </r>
  <r>
    <x v="2"/>
    <n v="1003"/>
    <x v="251"/>
    <x v="2"/>
    <s v="Connecticut"/>
    <s v="Hartford"/>
    <x v="1"/>
    <n v="55"/>
    <x v="52"/>
    <x v="62"/>
    <x v="356"/>
    <x v="1"/>
    <s v="In-store"/>
  </r>
  <r>
    <x v="2"/>
    <n v="1003"/>
    <x v="77"/>
    <x v="2"/>
    <s v="Massachusetts"/>
    <s v="Boston"/>
    <x v="5"/>
    <n v="45"/>
    <x v="32"/>
    <x v="52"/>
    <x v="357"/>
    <x v="25"/>
    <s v="In-store"/>
  </r>
  <r>
    <x v="3"/>
    <n v="1001"/>
    <x v="252"/>
    <x v="3"/>
    <s v="South Dakota"/>
    <s v="Sioux Falls"/>
    <x v="3"/>
    <n v="42"/>
    <x v="9"/>
    <x v="318"/>
    <x v="10"/>
    <x v="26"/>
    <s v="Online"/>
  </r>
  <r>
    <x v="1"/>
    <n v="1006"/>
    <x v="253"/>
    <x v="2"/>
    <s v="New Hampshire"/>
    <s v="Manchester"/>
    <x v="0"/>
    <n v="45"/>
    <x v="17"/>
    <x v="163"/>
    <x v="358"/>
    <x v="3"/>
    <s v="In-store"/>
  </r>
  <r>
    <x v="0"/>
    <n v="1004"/>
    <x v="203"/>
    <x v="1"/>
    <s v="Florida"/>
    <s v="Orlando"/>
    <x v="1"/>
    <n v="45"/>
    <x v="143"/>
    <x v="249"/>
    <x v="359"/>
    <x v="26"/>
    <s v="In-store"/>
  </r>
  <r>
    <x v="2"/>
    <n v="1003"/>
    <x v="36"/>
    <x v="4"/>
    <s v="Tennessee"/>
    <s v="Knoxville"/>
    <x v="5"/>
    <n v="30"/>
    <x v="11"/>
    <x v="319"/>
    <x v="360"/>
    <x v="18"/>
    <s v="Outlet"/>
  </r>
  <r>
    <x v="4"/>
    <n v="1002"/>
    <x v="27"/>
    <x v="1"/>
    <s v="Florida"/>
    <s v="Orlando"/>
    <x v="1"/>
    <n v="55"/>
    <x v="52"/>
    <x v="62"/>
    <x v="361"/>
    <x v="3"/>
    <s v="In-store"/>
  </r>
  <r>
    <x v="2"/>
    <n v="1003"/>
    <x v="246"/>
    <x v="4"/>
    <s v="Mississippi"/>
    <s v="Jackson"/>
    <x v="5"/>
    <n v="15"/>
    <x v="7"/>
    <x v="48"/>
    <x v="239"/>
    <x v="1"/>
    <s v="Online"/>
  </r>
  <r>
    <x v="2"/>
    <n v="1003"/>
    <x v="18"/>
    <x v="2"/>
    <s v="Rhode Island"/>
    <s v="Providence"/>
    <x v="5"/>
    <n v="50"/>
    <x v="65"/>
    <x v="320"/>
    <x v="362"/>
    <x v="1"/>
    <s v="In-store"/>
  </r>
  <r>
    <x v="3"/>
    <n v="1001"/>
    <x v="113"/>
    <x v="0"/>
    <s v="Alaska"/>
    <s v="Anchorage"/>
    <x v="4"/>
    <n v="50"/>
    <x v="39"/>
    <x v="54"/>
    <x v="134"/>
    <x v="39"/>
    <s v="Outlet"/>
  </r>
  <r>
    <x v="2"/>
    <n v="1003"/>
    <x v="254"/>
    <x v="4"/>
    <s v="Texas"/>
    <s v="Dallas"/>
    <x v="4"/>
    <n v="26"/>
    <x v="138"/>
    <x v="321"/>
    <x v="363"/>
    <x v="55"/>
    <s v="Outlet"/>
  </r>
  <r>
    <x v="5"/>
    <n v="1005"/>
    <x v="16"/>
    <x v="4"/>
    <s v="Oklahoma"/>
    <s v="Oklahoma City"/>
    <x v="0"/>
    <n v="54"/>
    <x v="122"/>
    <x v="322"/>
    <x v="364"/>
    <x v="24"/>
    <s v="Online"/>
  </r>
  <r>
    <x v="2"/>
    <n v="1003"/>
    <x v="119"/>
    <x v="2"/>
    <s v="Connecticut"/>
    <s v="Hartford"/>
    <x v="2"/>
    <n v="36"/>
    <x v="170"/>
    <x v="323"/>
    <x v="365"/>
    <x v="12"/>
    <s v="Online"/>
  </r>
  <r>
    <x v="3"/>
    <n v="1001"/>
    <x v="255"/>
    <x v="3"/>
    <s v="North Dakota"/>
    <s v="Fargo"/>
    <x v="3"/>
    <n v="29"/>
    <x v="152"/>
    <x v="324"/>
    <x v="366"/>
    <x v="4"/>
    <s v="Online"/>
  </r>
  <r>
    <x v="0"/>
    <n v="1004"/>
    <x v="111"/>
    <x v="3"/>
    <s v="Indiana"/>
    <s v="Indianapolis"/>
    <x v="5"/>
    <n v="27"/>
    <x v="130"/>
    <x v="325"/>
    <x v="367"/>
    <x v="26"/>
    <s v="Online"/>
  </r>
  <r>
    <x v="3"/>
    <n v="1001"/>
    <x v="10"/>
    <x v="3"/>
    <s v="South Dakota"/>
    <s v="Sioux Falls"/>
    <x v="5"/>
    <n v="43"/>
    <x v="171"/>
    <x v="326"/>
    <x v="368"/>
    <x v="1"/>
    <s v="Online"/>
  </r>
  <r>
    <x v="4"/>
    <n v="1002"/>
    <x v="222"/>
    <x v="4"/>
    <s v="Arkansas"/>
    <s v="Little Rock"/>
    <x v="2"/>
    <n v="28"/>
    <x v="57"/>
    <x v="327"/>
    <x v="369"/>
    <x v="9"/>
    <s v="Online"/>
  </r>
  <r>
    <x v="3"/>
    <n v="1001"/>
    <x v="256"/>
    <x v="3"/>
    <s v="Illinois"/>
    <s v="Chicago"/>
    <x v="1"/>
    <n v="55"/>
    <x v="27"/>
    <x v="328"/>
    <x v="370"/>
    <x v="15"/>
    <s v="Online"/>
  </r>
  <r>
    <x v="3"/>
    <n v="1001"/>
    <x v="257"/>
    <x v="2"/>
    <s v="New York"/>
    <s v="New York"/>
    <x v="3"/>
    <n v="53"/>
    <x v="172"/>
    <x v="329"/>
    <x v="371"/>
    <x v="0"/>
    <s v="Online"/>
  </r>
  <r>
    <x v="3"/>
    <n v="1001"/>
    <x v="38"/>
    <x v="3"/>
    <s v="Missouri"/>
    <s v="St. Louis"/>
    <x v="4"/>
    <n v="45"/>
    <x v="51"/>
    <x v="103"/>
    <x v="372"/>
    <x v="13"/>
    <s v="In-store"/>
  </r>
  <r>
    <x v="0"/>
    <n v="1004"/>
    <x v="9"/>
    <x v="0"/>
    <s v="Oregon"/>
    <s v="Portland"/>
    <x v="1"/>
    <n v="40"/>
    <x v="66"/>
    <x v="330"/>
    <x v="126"/>
    <x v="13"/>
    <s v="In-store"/>
  </r>
  <r>
    <x v="2"/>
    <n v="1003"/>
    <x v="65"/>
    <x v="1"/>
    <s v="Georgia"/>
    <s v="Atlanta"/>
    <x v="3"/>
    <n v="44"/>
    <x v="17"/>
    <x v="331"/>
    <x v="373"/>
    <x v="0"/>
    <s v="Outlet"/>
  </r>
  <r>
    <x v="0"/>
    <n v="1004"/>
    <x v="64"/>
    <x v="2"/>
    <s v="West Virginia"/>
    <s v="Charleston"/>
    <x v="2"/>
    <n v="59"/>
    <x v="67"/>
    <x v="332"/>
    <x v="374"/>
    <x v="44"/>
    <s v="Online"/>
  </r>
  <r>
    <x v="3"/>
    <n v="1001"/>
    <x v="199"/>
    <x v="1"/>
    <s v="Kentucky"/>
    <s v="Louisville"/>
    <x v="1"/>
    <n v="30"/>
    <x v="28"/>
    <x v="333"/>
    <x v="375"/>
    <x v="1"/>
    <s v="Online"/>
  </r>
  <r>
    <x v="0"/>
    <n v="1004"/>
    <x v="258"/>
    <x v="0"/>
    <s v="Washington"/>
    <s v="Seattle"/>
    <x v="4"/>
    <n v="65"/>
    <x v="17"/>
    <x v="334"/>
    <x v="233"/>
    <x v="25"/>
    <s v="In-store"/>
  </r>
  <r>
    <x v="3"/>
    <n v="1001"/>
    <x v="259"/>
    <x v="3"/>
    <s v="Illinois"/>
    <s v="Chicago"/>
    <x v="3"/>
    <n v="50"/>
    <x v="4"/>
    <x v="185"/>
    <x v="322"/>
    <x v="13"/>
    <s v="Outlet"/>
  </r>
  <r>
    <x v="0"/>
    <n v="1004"/>
    <x v="0"/>
    <x v="0"/>
    <s v="Utah"/>
    <s v="Salt Lake City"/>
    <x v="2"/>
    <n v="18"/>
    <x v="70"/>
    <x v="335"/>
    <x v="376"/>
    <x v="8"/>
    <s v="Outlet"/>
  </r>
  <r>
    <x v="1"/>
    <n v="1006"/>
    <x v="238"/>
    <x v="2"/>
    <s v="Maine"/>
    <s v="Portland"/>
    <x v="1"/>
    <n v="39"/>
    <x v="173"/>
    <x v="336"/>
    <x v="377"/>
    <x v="19"/>
    <s v="Online"/>
  </r>
  <r>
    <x v="0"/>
    <n v="1004"/>
    <x v="238"/>
    <x v="0"/>
    <s v="Oregon"/>
    <s v="Portland"/>
    <x v="1"/>
    <n v="40"/>
    <x v="82"/>
    <x v="183"/>
    <x v="192"/>
    <x v="13"/>
    <s v="In-store"/>
  </r>
  <r>
    <x v="3"/>
    <n v="1001"/>
    <x v="224"/>
    <x v="3"/>
    <s v="Iowa"/>
    <s v="Des Moines"/>
    <x v="5"/>
    <n v="36"/>
    <x v="61"/>
    <x v="337"/>
    <x v="378"/>
    <x v="17"/>
    <s v="Online"/>
  </r>
  <r>
    <x v="2"/>
    <n v="1003"/>
    <x v="260"/>
    <x v="1"/>
    <s v="North Carolina"/>
    <s v="Charlotte"/>
    <x v="1"/>
    <n v="61"/>
    <x v="45"/>
    <x v="338"/>
    <x v="379"/>
    <x v="24"/>
    <s v="Online"/>
  </r>
  <r>
    <x v="2"/>
    <n v="1003"/>
    <x v="13"/>
    <x v="3"/>
    <s v="Michigan"/>
    <s v="Detroit"/>
    <x v="3"/>
    <n v="37"/>
    <x v="54"/>
    <x v="339"/>
    <x v="380"/>
    <x v="9"/>
    <s v="Online"/>
  </r>
  <r>
    <x v="2"/>
    <n v="1003"/>
    <x v="261"/>
    <x v="4"/>
    <s v="Tennessee"/>
    <s v="Knoxville"/>
    <x v="0"/>
    <n v="53"/>
    <x v="127"/>
    <x v="340"/>
    <x v="381"/>
    <x v="56"/>
    <s v="Online"/>
  </r>
  <r>
    <x v="0"/>
    <n v="1004"/>
    <x v="262"/>
    <x v="2"/>
    <s v="New York"/>
    <s v="Albany"/>
    <x v="2"/>
    <n v="65"/>
    <x v="52"/>
    <x v="341"/>
    <x v="382"/>
    <x v="12"/>
    <s v="In-store"/>
  </r>
  <r>
    <x v="3"/>
    <n v="1001"/>
    <x v="252"/>
    <x v="3"/>
    <s v="South Dakota"/>
    <s v="Sioux Falls"/>
    <x v="5"/>
    <n v="36"/>
    <x v="19"/>
    <x v="342"/>
    <x v="383"/>
    <x v="1"/>
    <s v="Online"/>
  </r>
  <r>
    <x v="2"/>
    <n v="1003"/>
    <x v="105"/>
    <x v="1"/>
    <s v="Georgia"/>
    <s v="Atlanta"/>
    <x v="4"/>
    <n v="34"/>
    <x v="31"/>
    <x v="285"/>
    <x v="384"/>
    <x v="5"/>
    <s v="Outlet"/>
  </r>
  <r>
    <x v="3"/>
    <n v="1001"/>
    <x v="231"/>
    <x v="1"/>
    <s v="Virginia"/>
    <s v="Richmond"/>
    <x v="2"/>
    <n v="38"/>
    <x v="101"/>
    <x v="343"/>
    <x v="385"/>
    <x v="27"/>
    <s v="Online"/>
  </r>
  <r>
    <x v="2"/>
    <n v="1003"/>
    <x v="263"/>
    <x v="3"/>
    <s v="Michigan"/>
    <s v="Detroit"/>
    <x v="5"/>
    <n v="30"/>
    <x v="81"/>
    <x v="103"/>
    <x v="386"/>
    <x v="3"/>
    <s v="In-store"/>
  </r>
  <r>
    <x v="2"/>
    <n v="1003"/>
    <x v="202"/>
    <x v="1"/>
    <s v="Virginia"/>
    <s v="Richmond"/>
    <x v="5"/>
    <n v="17"/>
    <x v="124"/>
    <x v="344"/>
    <x v="387"/>
    <x v="30"/>
    <s v="Outlet"/>
  </r>
  <r>
    <x v="2"/>
    <n v="1003"/>
    <x v="264"/>
    <x v="4"/>
    <s v="Mississippi"/>
    <s v="Jackson"/>
    <x v="3"/>
    <n v="25"/>
    <x v="81"/>
    <x v="4"/>
    <x v="388"/>
    <x v="13"/>
    <s v="Online"/>
  </r>
  <r>
    <x v="3"/>
    <n v="1001"/>
    <x v="51"/>
    <x v="2"/>
    <s v="Rhode Island"/>
    <s v="Providence"/>
    <x v="1"/>
    <n v="50"/>
    <x v="95"/>
    <x v="122"/>
    <x v="389"/>
    <x v="13"/>
    <s v="In-store"/>
  </r>
  <r>
    <x v="0"/>
    <n v="1004"/>
    <x v="265"/>
    <x v="0"/>
    <s v="Colorado"/>
    <s v="Denver"/>
    <x v="2"/>
    <n v="52"/>
    <x v="174"/>
    <x v="345"/>
    <x v="390"/>
    <x v="36"/>
    <s v="Online"/>
  </r>
  <r>
    <x v="3"/>
    <n v="1001"/>
    <x v="232"/>
    <x v="2"/>
    <s v="Pennsylvania"/>
    <s v="Philadelphia"/>
    <x v="0"/>
    <n v="41"/>
    <x v="175"/>
    <x v="346"/>
    <x v="391"/>
    <x v="2"/>
    <s v="Online"/>
  </r>
  <r>
    <x v="2"/>
    <n v="1003"/>
    <x v="213"/>
    <x v="2"/>
    <s v="Connecticut"/>
    <s v="Hartford"/>
    <x v="3"/>
    <n v="50"/>
    <x v="7"/>
    <x v="347"/>
    <x v="392"/>
    <x v="1"/>
    <s v="In-store"/>
  </r>
  <r>
    <x v="3"/>
    <n v="1001"/>
    <x v="199"/>
    <x v="3"/>
    <s v="Michigan"/>
    <s v="Detroit"/>
    <x v="5"/>
    <n v="20"/>
    <x v="30"/>
    <x v="348"/>
    <x v="55"/>
    <x v="13"/>
    <s v="In-store"/>
  </r>
  <r>
    <x v="2"/>
    <n v="1003"/>
    <x v="105"/>
    <x v="0"/>
    <s v="New Mexico"/>
    <s v="Albuquerque"/>
    <x v="1"/>
    <n v="29"/>
    <x v="3"/>
    <x v="349"/>
    <x v="393"/>
    <x v="24"/>
    <s v="Online"/>
  </r>
  <r>
    <x v="2"/>
    <n v="1003"/>
    <x v="266"/>
    <x v="3"/>
    <s v="Montana"/>
    <s v="Billings"/>
    <x v="5"/>
    <n v="30"/>
    <x v="18"/>
    <x v="30"/>
    <x v="30"/>
    <x v="13"/>
    <s v="Outlet"/>
  </r>
  <r>
    <x v="0"/>
    <n v="1004"/>
    <x v="227"/>
    <x v="0"/>
    <s v="California"/>
    <s v="San Francisco"/>
    <x v="2"/>
    <n v="80"/>
    <x v="28"/>
    <x v="350"/>
    <x v="375"/>
    <x v="39"/>
    <s v="Outlet"/>
  </r>
  <r>
    <x v="3"/>
    <n v="1001"/>
    <x v="218"/>
    <x v="1"/>
    <s v="Virginia"/>
    <s v="Richmond"/>
    <x v="1"/>
    <n v="52"/>
    <x v="79"/>
    <x v="351"/>
    <x v="394"/>
    <x v="10"/>
    <s v="Online"/>
  </r>
  <r>
    <x v="4"/>
    <n v="1002"/>
    <x v="267"/>
    <x v="4"/>
    <s v="Texas"/>
    <s v="Houston"/>
    <x v="5"/>
    <n v="40"/>
    <x v="151"/>
    <x v="38"/>
    <x v="38"/>
    <x v="13"/>
    <s v="Outlet"/>
  </r>
  <r>
    <x v="3"/>
    <n v="1001"/>
    <x v="173"/>
    <x v="0"/>
    <s v="Idaho"/>
    <s v="Boise"/>
    <x v="2"/>
    <n v="64"/>
    <x v="94"/>
    <x v="352"/>
    <x v="395"/>
    <x v="53"/>
    <s v="Online"/>
  </r>
  <r>
    <x v="0"/>
    <n v="1004"/>
    <x v="167"/>
    <x v="1"/>
    <s v="Florida"/>
    <s v="Miami"/>
    <x v="1"/>
    <n v="52"/>
    <x v="51"/>
    <x v="353"/>
    <x v="396"/>
    <x v="23"/>
    <s v="Online"/>
  </r>
  <r>
    <x v="3"/>
    <n v="1001"/>
    <x v="268"/>
    <x v="3"/>
    <s v="Minnesota"/>
    <s v="Minneapolis"/>
    <x v="2"/>
    <n v="40"/>
    <x v="39"/>
    <x v="137"/>
    <x v="66"/>
    <x v="26"/>
    <s v="In-store"/>
  </r>
  <r>
    <x v="4"/>
    <n v="1002"/>
    <x v="269"/>
    <x v="4"/>
    <s v="Texas"/>
    <s v="Houston"/>
    <x v="4"/>
    <n v="42"/>
    <x v="113"/>
    <x v="224"/>
    <x v="397"/>
    <x v="1"/>
    <s v="Online"/>
  </r>
  <r>
    <x v="0"/>
    <n v="1004"/>
    <x v="246"/>
    <x v="4"/>
    <s v="Oklahoma"/>
    <s v="Oklahoma City"/>
    <x v="0"/>
    <n v="20"/>
    <x v="39"/>
    <x v="354"/>
    <x v="398"/>
    <x v="1"/>
    <s v="Online"/>
  </r>
  <r>
    <x v="2"/>
    <n v="1003"/>
    <x v="115"/>
    <x v="4"/>
    <s v="Mississippi"/>
    <s v="Jackson"/>
    <x v="3"/>
    <n v="44"/>
    <x v="121"/>
    <x v="355"/>
    <x v="399"/>
    <x v="41"/>
    <s v="Outlet"/>
  </r>
  <r>
    <x v="5"/>
    <n v="1005"/>
    <x v="270"/>
    <x v="0"/>
    <s v="Arizona"/>
    <s v="Phoenix"/>
    <x v="4"/>
    <n v="50"/>
    <x v="65"/>
    <x v="320"/>
    <x v="400"/>
    <x v="3"/>
    <s v="Online"/>
  </r>
  <r>
    <x v="2"/>
    <n v="1003"/>
    <x v="178"/>
    <x v="1"/>
    <s v="Georgia"/>
    <s v="Atlanta"/>
    <x v="3"/>
    <n v="60"/>
    <x v="77"/>
    <x v="121"/>
    <x v="401"/>
    <x v="1"/>
    <s v="Online"/>
  </r>
  <r>
    <x v="2"/>
    <n v="1003"/>
    <x v="271"/>
    <x v="3"/>
    <s v="North Dakota"/>
    <s v="Fargo"/>
    <x v="2"/>
    <n v="25"/>
    <x v="65"/>
    <x v="356"/>
    <x v="402"/>
    <x v="1"/>
    <s v="Online"/>
  </r>
  <r>
    <x v="3"/>
    <n v="1001"/>
    <x v="272"/>
    <x v="2"/>
    <s v="Delaware"/>
    <s v="Wilmington"/>
    <x v="1"/>
    <n v="55"/>
    <x v="83"/>
    <x v="357"/>
    <x v="403"/>
    <x v="13"/>
    <s v="In-store"/>
  </r>
  <r>
    <x v="3"/>
    <n v="1001"/>
    <x v="42"/>
    <x v="2"/>
    <s v="Maryland"/>
    <s v="Baltimore"/>
    <x v="0"/>
    <n v="49"/>
    <x v="176"/>
    <x v="358"/>
    <x v="230"/>
    <x v="12"/>
    <s v="Online"/>
  </r>
  <r>
    <x v="0"/>
    <n v="1004"/>
    <x v="19"/>
    <x v="2"/>
    <s v="New York"/>
    <s v="Albany"/>
    <x v="5"/>
    <n v="33"/>
    <x v="59"/>
    <x v="359"/>
    <x v="404"/>
    <x v="30"/>
    <s v="Online"/>
  </r>
  <r>
    <x v="0"/>
    <n v="1004"/>
    <x v="6"/>
    <x v="3"/>
    <s v="Indiana"/>
    <s v="Indianapolis"/>
    <x v="0"/>
    <n v="42"/>
    <x v="177"/>
    <x v="360"/>
    <x v="405"/>
    <x v="2"/>
    <s v="Online"/>
  </r>
  <r>
    <x v="5"/>
    <n v="1005"/>
    <x v="273"/>
    <x v="0"/>
    <s v="California"/>
    <s v="Los Angeles"/>
    <x v="2"/>
    <n v="32"/>
    <x v="94"/>
    <x v="361"/>
    <x v="406"/>
    <x v="46"/>
    <s v="Outlet"/>
  </r>
  <r>
    <x v="0"/>
    <n v="1004"/>
    <x v="85"/>
    <x v="3"/>
    <s v="Indiana"/>
    <s v="Indianapolis"/>
    <x v="5"/>
    <n v="32"/>
    <x v="101"/>
    <x v="362"/>
    <x v="407"/>
    <x v="10"/>
    <s v="Online"/>
  </r>
  <r>
    <x v="4"/>
    <n v="1002"/>
    <x v="274"/>
    <x v="4"/>
    <s v="Texas"/>
    <s v="Houston"/>
    <x v="3"/>
    <n v="41"/>
    <x v="163"/>
    <x v="363"/>
    <x v="408"/>
    <x v="26"/>
    <s v="Online"/>
  </r>
  <r>
    <x v="0"/>
    <n v="1004"/>
    <x v="275"/>
    <x v="3"/>
    <s v="Indiana"/>
    <s v="Indianapolis"/>
    <x v="4"/>
    <n v="60"/>
    <x v="51"/>
    <x v="182"/>
    <x v="170"/>
    <x v="3"/>
    <s v="In-store"/>
  </r>
  <r>
    <x v="2"/>
    <n v="1003"/>
    <x v="19"/>
    <x v="3"/>
    <s v="North Dakota"/>
    <s v="Fargo"/>
    <x v="0"/>
    <n v="25"/>
    <x v="178"/>
    <x v="364"/>
    <x v="409"/>
    <x v="0"/>
    <s v="Online"/>
  </r>
  <r>
    <x v="0"/>
    <n v="1004"/>
    <x v="171"/>
    <x v="0"/>
    <s v="Utah"/>
    <s v="Salt Lake City"/>
    <x v="2"/>
    <n v="25"/>
    <x v="7"/>
    <x v="365"/>
    <x v="351"/>
    <x v="12"/>
    <s v="In-store"/>
  </r>
  <r>
    <x v="1"/>
    <n v="1006"/>
    <x v="122"/>
    <x v="1"/>
    <s v="Kentucky"/>
    <s v="Louisville"/>
    <x v="5"/>
    <n v="35"/>
    <x v="32"/>
    <x v="41"/>
    <x v="66"/>
    <x v="1"/>
    <s v="Online"/>
  </r>
  <r>
    <x v="3"/>
    <n v="1001"/>
    <x v="56"/>
    <x v="2"/>
    <s v="Maryland"/>
    <s v="Baltimore"/>
    <x v="5"/>
    <n v="50"/>
    <x v="124"/>
    <x v="97"/>
    <x v="104"/>
    <x v="13"/>
    <s v="In-store"/>
  </r>
  <r>
    <x v="2"/>
    <n v="1003"/>
    <x v="66"/>
    <x v="2"/>
    <s v="Massachusetts"/>
    <s v="Boston"/>
    <x v="0"/>
    <n v="27"/>
    <x v="33"/>
    <x v="366"/>
    <x v="31"/>
    <x v="35"/>
    <s v="Outlet"/>
  </r>
  <r>
    <x v="2"/>
    <n v="1003"/>
    <x v="10"/>
    <x v="3"/>
    <s v="South Dakota"/>
    <s v="Sioux Falls"/>
    <x v="2"/>
    <n v="60"/>
    <x v="4"/>
    <x v="30"/>
    <x v="292"/>
    <x v="1"/>
    <s v="Online"/>
  </r>
  <r>
    <x v="3"/>
    <n v="1001"/>
    <x v="67"/>
    <x v="1"/>
    <s v="Kentucky"/>
    <s v="Louisville"/>
    <x v="2"/>
    <n v="66"/>
    <x v="179"/>
    <x v="367"/>
    <x v="410"/>
    <x v="15"/>
    <s v="Online"/>
  </r>
  <r>
    <x v="0"/>
    <n v="1004"/>
    <x v="218"/>
    <x v="0"/>
    <s v="Oregon"/>
    <s v="Portland"/>
    <x v="0"/>
    <n v="41"/>
    <x v="14"/>
    <x v="14"/>
    <x v="411"/>
    <x v="12"/>
    <s v="Online"/>
  </r>
  <r>
    <x v="2"/>
    <n v="1003"/>
    <x v="276"/>
    <x v="4"/>
    <s v="Alabama"/>
    <s v="Birmingham"/>
    <x v="0"/>
    <n v="45"/>
    <x v="77"/>
    <x v="89"/>
    <x v="412"/>
    <x v="50"/>
    <s v="Outlet"/>
  </r>
  <r>
    <x v="3"/>
    <n v="1001"/>
    <x v="178"/>
    <x v="3"/>
    <s v="Kansas"/>
    <s v="Wichita"/>
    <x v="2"/>
    <n v="75"/>
    <x v="82"/>
    <x v="132"/>
    <x v="295"/>
    <x v="13"/>
    <s v="Online"/>
  </r>
  <r>
    <x v="3"/>
    <n v="1001"/>
    <x v="277"/>
    <x v="3"/>
    <s v="Minnesota"/>
    <s v="Minneapolis"/>
    <x v="3"/>
    <n v="35"/>
    <x v="17"/>
    <x v="137"/>
    <x v="48"/>
    <x v="3"/>
    <s v="Outlet"/>
  </r>
  <r>
    <x v="5"/>
    <n v="1005"/>
    <x v="102"/>
    <x v="2"/>
    <s v="New Jersey"/>
    <s v="Newark"/>
    <x v="5"/>
    <n v="39"/>
    <x v="78"/>
    <x v="368"/>
    <x v="413"/>
    <x v="24"/>
    <s v="Online"/>
  </r>
  <r>
    <x v="3"/>
    <n v="1001"/>
    <x v="62"/>
    <x v="2"/>
    <s v="New Hampshire"/>
    <s v="Manchester"/>
    <x v="4"/>
    <n v="60"/>
    <x v="16"/>
    <x v="369"/>
    <x v="414"/>
    <x v="41"/>
    <s v="Online"/>
  </r>
  <r>
    <x v="2"/>
    <n v="1003"/>
    <x v="278"/>
    <x v="4"/>
    <s v="Tennessee"/>
    <s v="Knoxville"/>
    <x v="5"/>
    <n v="39"/>
    <x v="180"/>
    <x v="370"/>
    <x v="415"/>
    <x v="2"/>
    <s v="Outlet"/>
  </r>
  <r>
    <x v="3"/>
    <n v="1001"/>
    <x v="164"/>
    <x v="3"/>
    <s v="North Dakota"/>
    <s v="Fargo"/>
    <x v="5"/>
    <n v="20"/>
    <x v="17"/>
    <x v="371"/>
    <x v="416"/>
    <x v="3"/>
    <s v="In-store"/>
  </r>
  <r>
    <x v="5"/>
    <n v="1005"/>
    <x v="279"/>
    <x v="0"/>
    <s v="New Mexico"/>
    <s v="Albuquerque"/>
    <x v="2"/>
    <n v="49"/>
    <x v="107"/>
    <x v="372"/>
    <x v="417"/>
    <x v="35"/>
    <s v="Outlet"/>
  </r>
  <r>
    <x v="2"/>
    <n v="1003"/>
    <x v="251"/>
    <x v="2"/>
    <s v="Connecticut"/>
    <s v="Hartford"/>
    <x v="0"/>
    <n v="41"/>
    <x v="61"/>
    <x v="373"/>
    <x v="418"/>
    <x v="11"/>
    <s v="Online"/>
  </r>
  <r>
    <x v="2"/>
    <n v="1003"/>
    <x v="121"/>
    <x v="2"/>
    <s v="Connecticut"/>
    <s v="Hartford"/>
    <x v="0"/>
    <n v="50"/>
    <x v="26"/>
    <x v="374"/>
    <x v="419"/>
    <x v="1"/>
    <s v="Online"/>
  </r>
  <r>
    <x v="1"/>
    <n v="1006"/>
    <x v="24"/>
    <x v="1"/>
    <s v="North Carolina"/>
    <s v="Charlotte"/>
    <x v="4"/>
    <n v="45"/>
    <x v="66"/>
    <x v="375"/>
    <x v="420"/>
    <x v="13"/>
    <s v="Online"/>
  </r>
  <r>
    <x v="4"/>
    <n v="1002"/>
    <x v="12"/>
    <x v="1"/>
    <s v="Florida"/>
    <s v="Orlando"/>
    <x v="1"/>
    <n v="44"/>
    <x v="181"/>
    <x v="376"/>
    <x v="421"/>
    <x v="41"/>
    <s v="Outlet"/>
  </r>
  <r>
    <x v="0"/>
    <n v="1004"/>
    <x v="280"/>
    <x v="3"/>
    <s v="Indiana"/>
    <s v="Indianapolis"/>
    <x v="0"/>
    <n v="20"/>
    <x v="96"/>
    <x v="377"/>
    <x v="422"/>
    <x v="13"/>
    <s v="In-store"/>
  </r>
  <r>
    <x v="5"/>
    <n v="1005"/>
    <x v="110"/>
    <x v="0"/>
    <s v="New Mexico"/>
    <s v="Albuquerque"/>
    <x v="1"/>
    <n v="43"/>
    <x v="182"/>
    <x v="378"/>
    <x v="423"/>
    <x v="11"/>
    <s v="Outlet"/>
  </r>
  <r>
    <x v="0"/>
    <n v="1004"/>
    <x v="281"/>
    <x v="0"/>
    <s v="Idaho"/>
    <s v="Boise"/>
    <x v="2"/>
    <n v="23"/>
    <x v="120"/>
    <x v="379"/>
    <x v="424"/>
    <x v="45"/>
    <s v="Outlet"/>
  </r>
  <r>
    <x v="0"/>
    <n v="1004"/>
    <x v="282"/>
    <x v="0"/>
    <s v="California"/>
    <s v="San Francisco"/>
    <x v="3"/>
    <n v="36"/>
    <x v="149"/>
    <x v="380"/>
    <x v="425"/>
    <x v="25"/>
    <s v="Outlet"/>
  </r>
  <r>
    <x v="3"/>
    <n v="1001"/>
    <x v="47"/>
    <x v="2"/>
    <s v="Delaware"/>
    <s v="Wilmington"/>
    <x v="5"/>
    <n v="45"/>
    <x v="34"/>
    <x v="34"/>
    <x v="34"/>
    <x v="1"/>
    <s v="In-store"/>
  </r>
  <r>
    <x v="0"/>
    <n v="1004"/>
    <x v="283"/>
    <x v="3"/>
    <s v="Iowa"/>
    <s v="Des Moines"/>
    <x v="5"/>
    <n v="20"/>
    <x v="4"/>
    <x v="381"/>
    <x v="426"/>
    <x v="3"/>
    <s v="In-store"/>
  </r>
  <r>
    <x v="5"/>
    <n v="1005"/>
    <x v="280"/>
    <x v="0"/>
    <s v="California"/>
    <s v="Los Angeles"/>
    <x v="0"/>
    <n v="43"/>
    <x v="183"/>
    <x v="382"/>
    <x v="427"/>
    <x v="19"/>
    <s v="Online"/>
  </r>
  <r>
    <x v="1"/>
    <n v="1006"/>
    <x v="226"/>
    <x v="2"/>
    <s v="Vermont"/>
    <s v="Burlington"/>
    <x v="2"/>
    <n v="49"/>
    <x v="39"/>
    <x v="383"/>
    <x v="428"/>
    <x v="2"/>
    <s v="Outlet"/>
  </r>
  <r>
    <x v="3"/>
    <n v="1001"/>
    <x v="36"/>
    <x v="4"/>
    <s v="Mississippi"/>
    <s v="Jackson"/>
    <x v="2"/>
    <n v="28"/>
    <x v="79"/>
    <x v="384"/>
    <x v="429"/>
    <x v="32"/>
    <s v="Online"/>
  </r>
  <r>
    <x v="5"/>
    <n v="1005"/>
    <x v="91"/>
    <x v="2"/>
    <s v="New Jersey"/>
    <s v="Newark"/>
    <x v="1"/>
    <n v="45"/>
    <x v="102"/>
    <x v="385"/>
    <x v="430"/>
    <x v="4"/>
    <s v="Online"/>
  </r>
  <r>
    <x v="2"/>
    <n v="1003"/>
    <x v="7"/>
    <x v="1"/>
    <s v="Georgia"/>
    <s v="Atlanta"/>
    <x v="3"/>
    <n v="36"/>
    <x v="145"/>
    <x v="386"/>
    <x v="431"/>
    <x v="26"/>
    <s v="Outlet"/>
  </r>
  <r>
    <x v="0"/>
    <n v="1004"/>
    <x v="284"/>
    <x v="0"/>
    <s v="Nevada"/>
    <s v="Las Vegas"/>
    <x v="5"/>
    <n v="60"/>
    <x v="30"/>
    <x v="387"/>
    <x v="125"/>
    <x v="13"/>
    <s v="In-store"/>
  </r>
  <r>
    <x v="5"/>
    <n v="1005"/>
    <x v="133"/>
    <x v="0"/>
    <s v="California"/>
    <s v="Los Angeles"/>
    <x v="4"/>
    <n v="58"/>
    <x v="5"/>
    <x v="388"/>
    <x v="432"/>
    <x v="57"/>
    <s v="Online"/>
  </r>
  <r>
    <x v="0"/>
    <n v="1004"/>
    <x v="0"/>
    <x v="3"/>
    <s v="Missouri"/>
    <s v="St. Louis"/>
    <x v="3"/>
    <n v="24"/>
    <x v="131"/>
    <x v="389"/>
    <x v="433"/>
    <x v="2"/>
    <s v="Online"/>
  </r>
  <r>
    <x v="0"/>
    <n v="1004"/>
    <x v="243"/>
    <x v="2"/>
    <s v="West Virginia"/>
    <s v="Charleston"/>
    <x v="1"/>
    <n v="41"/>
    <x v="67"/>
    <x v="390"/>
    <x v="434"/>
    <x v="15"/>
    <s v="Online"/>
  </r>
  <r>
    <x v="1"/>
    <n v="1006"/>
    <x v="142"/>
    <x v="3"/>
    <s v="Ohio"/>
    <s v="Columbus"/>
    <x v="1"/>
    <n v="37"/>
    <x v="154"/>
    <x v="391"/>
    <x v="435"/>
    <x v="15"/>
    <s v="Online"/>
  </r>
  <r>
    <x v="5"/>
    <n v="1005"/>
    <x v="285"/>
    <x v="3"/>
    <s v="Montana"/>
    <s v="Billings"/>
    <x v="1"/>
    <n v="44"/>
    <x v="59"/>
    <x v="392"/>
    <x v="436"/>
    <x v="38"/>
    <s v="Online"/>
  </r>
  <r>
    <x v="2"/>
    <n v="1003"/>
    <x v="105"/>
    <x v="0"/>
    <s v="New Mexico"/>
    <s v="Albuquerque"/>
    <x v="3"/>
    <n v="37"/>
    <x v="27"/>
    <x v="393"/>
    <x v="437"/>
    <x v="8"/>
    <s v="Online"/>
  </r>
  <r>
    <x v="2"/>
    <n v="1003"/>
    <x v="119"/>
    <x v="2"/>
    <s v="Connecticut"/>
    <s v="Hartford"/>
    <x v="4"/>
    <n v="46"/>
    <x v="148"/>
    <x v="394"/>
    <x v="438"/>
    <x v="26"/>
    <s v="Online"/>
  </r>
  <r>
    <x v="0"/>
    <n v="1004"/>
    <x v="36"/>
    <x v="4"/>
    <s v="Louisiana"/>
    <s v="New Orleans"/>
    <x v="0"/>
    <n v="39"/>
    <x v="12"/>
    <x v="395"/>
    <x v="439"/>
    <x v="24"/>
    <s v="Online"/>
  </r>
  <r>
    <x v="0"/>
    <n v="1004"/>
    <x v="246"/>
    <x v="4"/>
    <s v="Arkansas"/>
    <s v="Little Rock"/>
    <x v="1"/>
    <n v="25"/>
    <x v="52"/>
    <x v="396"/>
    <x v="440"/>
    <x v="1"/>
    <s v="Onlin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1">
  <r>
    <x v="0"/>
    <n v="1004"/>
    <x v="0"/>
    <x v="0"/>
    <s v="Utah"/>
    <s v="Salt Lake City"/>
    <x v="0"/>
    <x v="0"/>
    <x v="0"/>
    <x v="0"/>
    <x v="0"/>
    <x v="0"/>
    <s v="Outlet"/>
  </r>
  <r>
    <x v="1"/>
    <n v="1006"/>
    <x v="1"/>
    <x v="1"/>
    <s v="Kentucky"/>
    <s v="Louisville"/>
    <x v="1"/>
    <x v="1"/>
    <x v="1"/>
    <x v="1"/>
    <x v="1"/>
    <x v="1"/>
    <s v="Online"/>
  </r>
  <r>
    <x v="2"/>
    <n v="1003"/>
    <x v="2"/>
    <x v="1"/>
    <s v="Florida"/>
    <s v="Orlando"/>
    <x v="2"/>
    <x v="2"/>
    <x v="2"/>
    <x v="2"/>
    <x v="2"/>
    <x v="2"/>
    <s v="Outlet"/>
  </r>
  <r>
    <x v="1"/>
    <n v="1006"/>
    <x v="3"/>
    <x v="2"/>
    <s v="Vermont"/>
    <s v="Burlington"/>
    <x v="2"/>
    <x v="3"/>
    <x v="3"/>
    <x v="3"/>
    <x v="3"/>
    <x v="2"/>
    <s v="Outlet"/>
  </r>
  <r>
    <x v="2"/>
    <n v="1003"/>
    <x v="4"/>
    <x v="3"/>
    <s v="South Dakota"/>
    <s v="Sioux Falls"/>
    <x v="3"/>
    <x v="4"/>
    <x v="4"/>
    <x v="4"/>
    <x v="4"/>
    <x v="3"/>
    <s v="Online"/>
  </r>
  <r>
    <x v="3"/>
    <n v="1001"/>
    <x v="5"/>
    <x v="4"/>
    <s v="Louisiana"/>
    <s v="New Orleans"/>
    <x v="1"/>
    <x v="5"/>
    <x v="5"/>
    <x v="5"/>
    <x v="5"/>
    <x v="1"/>
    <s v="Online"/>
  </r>
  <r>
    <x v="3"/>
    <n v="1001"/>
    <x v="6"/>
    <x v="3"/>
    <s v="Nebraska"/>
    <s v="Omaha"/>
    <x v="3"/>
    <x v="6"/>
    <x v="6"/>
    <x v="6"/>
    <x v="6"/>
    <x v="4"/>
    <s v="Online"/>
  </r>
  <r>
    <x v="2"/>
    <n v="1003"/>
    <x v="7"/>
    <x v="1"/>
    <s v="Georgia"/>
    <s v="Atlanta"/>
    <x v="3"/>
    <x v="7"/>
    <x v="7"/>
    <x v="7"/>
    <x v="7"/>
    <x v="1"/>
    <s v="Online"/>
  </r>
  <r>
    <x v="3"/>
    <n v="1001"/>
    <x v="8"/>
    <x v="1"/>
    <s v="Virginia"/>
    <s v="Richmond"/>
    <x v="0"/>
    <x v="8"/>
    <x v="8"/>
    <x v="8"/>
    <x v="8"/>
    <x v="5"/>
    <s v="Outlet"/>
  </r>
  <r>
    <x v="3"/>
    <n v="1001"/>
    <x v="9"/>
    <x v="1"/>
    <s v="Virginia"/>
    <s v="Richmond"/>
    <x v="0"/>
    <x v="9"/>
    <x v="9"/>
    <x v="9"/>
    <x v="9"/>
    <x v="5"/>
    <s v="Outlet"/>
  </r>
  <r>
    <x v="1"/>
    <n v="1006"/>
    <x v="10"/>
    <x v="4"/>
    <s v="Alabama"/>
    <s v="Birmingham"/>
    <x v="1"/>
    <x v="10"/>
    <x v="10"/>
    <x v="10"/>
    <x v="10"/>
    <x v="5"/>
    <s v="Outlet"/>
  </r>
  <r>
    <x v="4"/>
    <n v="1002"/>
    <x v="11"/>
    <x v="2"/>
    <s v="New York"/>
    <s v="New York"/>
    <x v="2"/>
    <x v="11"/>
    <x v="11"/>
    <x v="11"/>
    <x v="11"/>
    <x v="6"/>
    <s v="Outlet"/>
  </r>
  <r>
    <x v="4"/>
    <n v="1002"/>
    <x v="12"/>
    <x v="1"/>
    <s v="Florida"/>
    <s v="Orlando"/>
    <x v="4"/>
    <x v="12"/>
    <x v="12"/>
    <x v="12"/>
    <x v="12"/>
    <x v="7"/>
    <s v="Online"/>
  </r>
  <r>
    <x v="2"/>
    <n v="1003"/>
    <x v="13"/>
    <x v="4"/>
    <s v="Texas"/>
    <s v="Dallas"/>
    <x v="2"/>
    <x v="13"/>
    <x v="13"/>
    <x v="13"/>
    <x v="13"/>
    <x v="8"/>
    <s v="Outlet"/>
  </r>
  <r>
    <x v="0"/>
    <n v="1004"/>
    <x v="12"/>
    <x v="4"/>
    <s v="Louisiana"/>
    <s v="New Orleans"/>
    <x v="0"/>
    <x v="14"/>
    <x v="14"/>
    <x v="14"/>
    <x v="14"/>
    <x v="9"/>
    <s v="Online"/>
  </r>
  <r>
    <x v="5"/>
    <n v="1005"/>
    <x v="14"/>
    <x v="3"/>
    <s v="Kansas"/>
    <s v="Wichita"/>
    <x v="3"/>
    <x v="15"/>
    <x v="15"/>
    <x v="15"/>
    <x v="15"/>
    <x v="10"/>
    <s v="Online"/>
  </r>
  <r>
    <x v="3"/>
    <n v="1001"/>
    <x v="15"/>
    <x v="3"/>
    <s v="North Dakota"/>
    <s v="Fargo"/>
    <x v="0"/>
    <x v="16"/>
    <x v="16"/>
    <x v="16"/>
    <x v="16"/>
    <x v="11"/>
    <s v="Online"/>
  </r>
  <r>
    <x v="5"/>
    <n v="1005"/>
    <x v="16"/>
    <x v="4"/>
    <s v="Oklahoma"/>
    <s v="Oklahoma City"/>
    <x v="1"/>
    <x v="7"/>
    <x v="17"/>
    <x v="17"/>
    <x v="17"/>
    <x v="0"/>
    <s v="Outlet"/>
  </r>
  <r>
    <x v="2"/>
    <n v="1003"/>
    <x v="17"/>
    <x v="3"/>
    <s v="Michigan"/>
    <s v="Detroit"/>
    <x v="3"/>
    <x v="17"/>
    <x v="18"/>
    <x v="18"/>
    <x v="18"/>
    <x v="1"/>
    <s v="In-store"/>
  </r>
  <r>
    <x v="2"/>
    <n v="1003"/>
    <x v="18"/>
    <x v="2"/>
    <s v="Rhode Island"/>
    <s v="Providence"/>
    <x v="0"/>
    <x v="2"/>
    <x v="19"/>
    <x v="19"/>
    <x v="19"/>
    <x v="12"/>
    <s v="Online"/>
  </r>
  <r>
    <x v="0"/>
    <n v="1004"/>
    <x v="19"/>
    <x v="2"/>
    <s v="New York"/>
    <s v="Albany"/>
    <x v="3"/>
    <x v="4"/>
    <x v="20"/>
    <x v="20"/>
    <x v="20"/>
    <x v="13"/>
    <s v="In-store"/>
  </r>
  <r>
    <x v="2"/>
    <n v="1003"/>
    <x v="20"/>
    <x v="4"/>
    <s v="Texas"/>
    <s v="Houston"/>
    <x v="2"/>
    <x v="18"/>
    <x v="21"/>
    <x v="21"/>
    <x v="21"/>
    <x v="14"/>
    <s v="Online"/>
  </r>
  <r>
    <x v="4"/>
    <n v="1002"/>
    <x v="21"/>
    <x v="4"/>
    <s v="Arkansas"/>
    <s v="Little Rock"/>
    <x v="1"/>
    <x v="7"/>
    <x v="22"/>
    <x v="22"/>
    <x v="22"/>
    <x v="15"/>
    <s v="Online"/>
  </r>
  <r>
    <x v="2"/>
    <n v="1003"/>
    <x v="22"/>
    <x v="4"/>
    <s v="Alabama"/>
    <s v="Birmingham"/>
    <x v="3"/>
    <x v="8"/>
    <x v="23"/>
    <x v="23"/>
    <x v="23"/>
    <x v="16"/>
    <s v="Outlet"/>
  </r>
  <r>
    <x v="3"/>
    <n v="1001"/>
    <x v="23"/>
    <x v="2"/>
    <s v="Pennsylvania"/>
    <s v="Philadelphia"/>
    <x v="4"/>
    <x v="19"/>
    <x v="24"/>
    <x v="24"/>
    <x v="24"/>
    <x v="0"/>
    <s v="Online"/>
  </r>
  <r>
    <x v="2"/>
    <n v="1003"/>
    <x v="24"/>
    <x v="0"/>
    <s v="New Mexico"/>
    <s v="Albuquerque"/>
    <x v="2"/>
    <x v="8"/>
    <x v="25"/>
    <x v="25"/>
    <x v="25"/>
    <x v="5"/>
    <s v="Online"/>
  </r>
  <r>
    <x v="5"/>
    <n v="1005"/>
    <x v="25"/>
    <x v="2"/>
    <s v="New Jersey"/>
    <s v="Newark"/>
    <x v="4"/>
    <x v="20"/>
    <x v="26"/>
    <x v="26"/>
    <x v="26"/>
    <x v="11"/>
    <s v="Online"/>
  </r>
  <r>
    <x v="0"/>
    <n v="1004"/>
    <x v="26"/>
    <x v="0"/>
    <s v="Nevada"/>
    <s v="Las Vegas"/>
    <x v="0"/>
    <x v="20"/>
    <x v="27"/>
    <x v="27"/>
    <x v="27"/>
    <x v="17"/>
    <s v="Online"/>
  </r>
  <r>
    <x v="0"/>
    <n v="1004"/>
    <x v="27"/>
    <x v="4"/>
    <s v="Louisiana"/>
    <s v="New Orleans"/>
    <x v="0"/>
    <x v="17"/>
    <x v="18"/>
    <x v="18"/>
    <x v="18"/>
    <x v="1"/>
    <s v="Online"/>
  </r>
  <r>
    <x v="2"/>
    <n v="1003"/>
    <x v="28"/>
    <x v="4"/>
    <s v="Alabama"/>
    <s v="Birmingham"/>
    <x v="3"/>
    <x v="3"/>
    <x v="28"/>
    <x v="28"/>
    <x v="28"/>
    <x v="18"/>
    <s v="Outlet"/>
  </r>
  <r>
    <x v="2"/>
    <n v="1003"/>
    <x v="29"/>
    <x v="1"/>
    <s v="North Carolina"/>
    <s v="Charlotte"/>
    <x v="3"/>
    <x v="6"/>
    <x v="29"/>
    <x v="29"/>
    <x v="29"/>
    <x v="4"/>
    <s v="Online"/>
  </r>
  <r>
    <x v="3"/>
    <n v="1001"/>
    <x v="30"/>
    <x v="3"/>
    <s v="Missouri"/>
    <s v="St. Louis"/>
    <x v="4"/>
    <x v="1"/>
    <x v="30"/>
    <x v="30"/>
    <x v="30"/>
    <x v="13"/>
    <s v="In-store"/>
  </r>
  <r>
    <x v="2"/>
    <n v="1003"/>
    <x v="31"/>
    <x v="3"/>
    <s v="North Dakota"/>
    <s v="Fargo"/>
    <x v="5"/>
    <x v="10"/>
    <x v="31"/>
    <x v="31"/>
    <x v="31"/>
    <x v="1"/>
    <s v="Online"/>
  </r>
  <r>
    <x v="0"/>
    <n v="1004"/>
    <x v="32"/>
    <x v="0"/>
    <s v="Oregon"/>
    <s v="Portland"/>
    <x v="1"/>
    <x v="21"/>
    <x v="32"/>
    <x v="32"/>
    <x v="32"/>
    <x v="19"/>
    <s v="Online"/>
  </r>
  <r>
    <x v="1"/>
    <n v="1006"/>
    <x v="33"/>
    <x v="2"/>
    <s v="Maine"/>
    <s v="Portland"/>
    <x v="0"/>
    <x v="22"/>
    <x v="33"/>
    <x v="33"/>
    <x v="33"/>
    <x v="3"/>
    <s v="Outlet"/>
  </r>
  <r>
    <x v="5"/>
    <n v="1005"/>
    <x v="34"/>
    <x v="3"/>
    <s v="Minnesota"/>
    <s v="Minneapolis"/>
    <x v="0"/>
    <x v="4"/>
    <x v="34"/>
    <x v="34"/>
    <x v="34"/>
    <x v="1"/>
    <s v="Outlet"/>
  </r>
  <r>
    <x v="4"/>
    <n v="1002"/>
    <x v="35"/>
    <x v="4"/>
    <s v="Texas"/>
    <s v="Houston"/>
    <x v="2"/>
    <x v="16"/>
    <x v="35"/>
    <x v="35"/>
    <x v="35"/>
    <x v="20"/>
    <s v="Online"/>
  </r>
  <r>
    <x v="0"/>
    <n v="1004"/>
    <x v="36"/>
    <x v="4"/>
    <s v="Louisiana"/>
    <s v="New Orleans"/>
    <x v="3"/>
    <x v="23"/>
    <x v="36"/>
    <x v="36"/>
    <x v="36"/>
    <x v="12"/>
    <s v="Online"/>
  </r>
  <r>
    <x v="2"/>
    <n v="1003"/>
    <x v="37"/>
    <x v="4"/>
    <s v="Alabama"/>
    <s v="Birmingham"/>
    <x v="4"/>
    <x v="24"/>
    <x v="36"/>
    <x v="37"/>
    <x v="37"/>
    <x v="10"/>
    <s v="Online"/>
  </r>
  <r>
    <x v="3"/>
    <n v="1001"/>
    <x v="38"/>
    <x v="2"/>
    <s v="New Hampshire"/>
    <s v="Manchester"/>
    <x v="2"/>
    <x v="25"/>
    <x v="7"/>
    <x v="38"/>
    <x v="38"/>
    <x v="13"/>
    <s v="Outlet"/>
  </r>
  <r>
    <x v="4"/>
    <n v="1002"/>
    <x v="39"/>
    <x v="2"/>
    <s v="New York"/>
    <s v="New York"/>
    <x v="2"/>
    <x v="2"/>
    <x v="37"/>
    <x v="39"/>
    <x v="39"/>
    <x v="3"/>
    <s v="Outlet"/>
  </r>
  <r>
    <x v="2"/>
    <n v="1003"/>
    <x v="40"/>
    <x v="4"/>
    <s v="Texas"/>
    <s v="Dallas"/>
    <x v="1"/>
    <x v="11"/>
    <x v="38"/>
    <x v="40"/>
    <x v="40"/>
    <x v="16"/>
    <s v="Online"/>
  </r>
  <r>
    <x v="5"/>
    <n v="1005"/>
    <x v="41"/>
    <x v="2"/>
    <s v="New Jersey"/>
    <s v="Newark"/>
    <x v="4"/>
    <x v="4"/>
    <x v="39"/>
    <x v="41"/>
    <x v="41"/>
    <x v="3"/>
    <s v="In-store"/>
  </r>
  <r>
    <x v="1"/>
    <n v="1006"/>
    <x v="42"/>
    <x v="1"/>
    <s v="Kentucky"/>
    <s v="Louisville"/>
    <x v="4"/>
    <x v="7"/>
    <x v="40"/>
    <x v="42"/>
    <x v="42"/>
    <x v="13"/>
    <s v="Online"/>
  </r>
  <r>
    <x v="3"/>
    <n v="1001"/>
    <x v="25"/>
    <x v="2"/>
    <s v="Rhode Island"/>
    <s v="Providence"/>
    <x v="3"/>
    <x v="26"/>
    <x v="6"/>
    <x v="43"/>
    <x v="43"/>
    <x v="19"/>
    <s v="Online"/>
  </r>
  <r>
    <x v="2"/>
    <n v="1003"/>
    <x v="43"/>
    <x v="2"/>
    <s v="Massachusetts"/>
    <s v="Boston"/>
    <x v="5"/>
    <x v="27"/>
    <x v="41"/>
    <x v="44"/>
    <x v="44"/>
    <x v="13"/>
    <s v="Online"/>
  </r>
  <r>
    <x v="2"/>
    <n v="1003"/>
    <x v="18"/>
    <x v="2"/>
    <s v="Rhode Island"/>
    <s v="Providence"/>
    <x v="5"/>
    <x v="16"/>
    <x v="12"/>
    <x v="45"/>
    <x v="45"/>
    <x v="9"/>
    <s v="Online"/>
  </r>
  <r>
    <x v="0"/>
    <n v="1004"/>
    <x v="44"/>
    <x v="0"/>
    <s v="Nevada"/>
    <s v="Las Vegas"/>
    <x v="0"/>
    <x v="16"/>
    <x v="42"/>
    <x v="46"/>
    <x v="46"/>
    <x v="4"/>
    <s v="Outlet"/>
  </r>
  <r>
    <x v="0"/>
    <n v="1004"/>
    <x v="2"/>
    <x v="4"/>
    <s v="Louisiana"/>
    <s v="New Orleans"/>
    <x v="0"/>
    <x v="28"/>
    <x v="43"/>
    <x v="47"/>
    <x v="47"/>
    <x v="21"/>
    <s v="Outlet"/>
  </r>
  <r>
    <x v="2"/>
    <n v="1003"/>
    <x v="45"/>
    <x v="3"/>
    <s v="North Dakota"/>
    <s v="Fargo"/>
    <x v="4"/>
    <x v="1"/>
    <x v="40"/>
    <x v="48"/>
    <x v="48"/>
    <x v="13"/>
    <s v="In-store"/>
  </r>
  <r>
    <x v="0"/>
    <n v="1004"/>
    <x v="46"/>
    <x v="0"/>
    <s v="Nevada"/>
    <s v="Las Vegas"/>
    <x v="1"/>
    <x v="29"/>
    <x v="44"/>
    <x v="49"/>
    <x v="49"/>
    <x v="1"/>
    <s v="In-store"/>
  </r>
  <r>
    <x v="2"/>
    <n v="1003"/>
    <x v="47"/>
    <x v="2"/>
    <s v="Massachusetts"/>
    <s v="Boston"/>
    <x v="5"/>
    <x v="8"/>
    <x v="33"/>
    <x v="50"/>
    <x v="50"/>
    <x v="7"/>
    <s v="Outlet"/>
  </r>
  <r>
    <x v="2"/>
    <n v="1003"/>
    <x v="48"/>
    <x v="4"/>
    <s v="Texas"/>
    <s v="Dallas"/>
    <x v="2"/>
    <x v="3"/>
    <x v="28"/>
    <x v="28"/>
    <x v="51"/>
    <x v="8"/>
    <s v="Outlet"/>
  </r>
  <r>
    <x v="3"/>
    <n v="1001"/>
    <x v="49"/>
    <x v="2"/>
    <s v="New York"/>
    <s v="New York"/>
    <x v="3"/>
    <x v="11"/>
    <x v="45"/>
    <x v="51"/>
    <x v="52"/>
    <x v="11"/>
    <s v="Online"/>
  </r>
  <r>
    <x v="0"/>
    <n v="1004"/>
    <x v="6"/>
    <x v="3"/>
    <s v="Indiana"/>
    <s v="Indianapolis"/>
    <x v="5"/>
    <x v="4"/>
    <x v="32"/>
    <x v="52"/>
    <x v="53"/>
    <x v="13"/>
    <s v="In-store"/>
  </r>
  <r>
    <x v="3"/>
    <n v="1001"/>
    <x v="50"/>
    <x v="3"/>
    <s v="Nebraska"/>
    <s v="Omaha"/>
    <x v="2"/>
    <x v="21"/>
    <x v="41"/>
    <x v="53"/>
    <x v="54"/>
    <x v="22"/>
    <s v="Online"/>
  </r>
  <r>
    <x v="3"/>
    <n v="1001"/>
    <x v="51"/>
    <x v="2"/>
    <s v="Rhode Island"/>
    <s v="Providence"/>
    <x v="4"/>
    <x v="17"/>
    <x v="39"/>
    <x v="54"/>
    <x v="55"/>
    <x v="3"/>
    <s v="In-store"/>
  </r>
  <r>
    <x v="4"/>
    <n v="1002"/>
    <x v="52"/>
    <x v="2"/>
    <s v="New York"/>
    <s v="New York"/>
    <x v="1"/>
    <x v="2"/>
    <x v="46"/>
    <x v="55"/>
    <x v="56"/>
    <x v="23"/>
    <s v="Outlet"/>
  </r>
  <r>
    <x v="3"/>
    <n v="1001"/>
    <x v="22"/>
    <x v="3"/>
    <s v="Missouri"/>
    <s v="St. Louis"/>
    <x v="0"/>
    <x v="30"/>
    <x v="47"/>
    <x v="56"/>
    <x v="57"/>
    <x v="24"/>
    <s v="Online"/>
  </r>
  <r>
    <x v="2"/>
    <n v="1003"/>
    <x v="53"/>
    <x v="4"/>
    <s v="Tennessee"/>
    <s v="Knoxville"/>
    <x v="0"/>
    <x v="1"/>
    <x v="48"/>
    <x v="57"/>
    <x v="58"/>
    <x v="12"/>
    <s v="Outlet"/>
  </r>
  <r>
    <x v="0"/>
    <n v="1004"/>
    <x v="54"/>
    <x v="3"/>
    <s v="Wisconsin"/>
    <s v="Milwaukee"/>
    <x v="1"/>
    <x v="31"/>
    <x v="49"/>
    <x v="58"/>
    <x v="59"/>
    <x v="11"/>
    <s v="Online"/>
  </r>
  <r>
    <x v="0"/>
    <n v="1004"/>
    <x v="55"/>
    <x v="0"/>
    <s v="Oregon"/>
    <s v="Portland"/>
    <x v="2"/>
    <x v="32"/>
    <x v="50"/>
    <x v="59"/>
    <x v="60"/>
    <x v="17"/>
    <s v="Online"/>
  </r>
  <r>
    <x v="1"/>
    <n v="1006"/>
    <x v="56"/>
    <x v="0"/>
    <s v="Alaska"/>
    <s v="Anchorage"/>
    <x v="0"/>
    <x v="29"/>
    <x v="51"/>
    <x v="60"/>
    <x v="61"/>
    <x v="25"/>
    <s v="Outlet"/>
  </r>
  <r>
    <x v="2"/>
    <n v="1003"/>
    <x v="57"/>
    <x v="2"/>
    <s v="Maryland"/>
    <s v="Baltimore"/>
    <x v="5"/>
    <x v="24"/>
    <x v="31"/>
    <x v="61"/>
    <x v="62"/>
    <x v="19"/>
    <s v="Online"/>
  </r>
  <r>
    <x v="0"/>
    <n v="1004"/>
    <x v="58"/>
    <x v="2"/>
    <s v="New York"/>
    <s v="Albany"/>
    <x v="5"/>
    <x v="7"/>
    <x v="52"/>
    <x v="62"/>
    <x v="63"/>
    <x v="25"/>
    <s v="In-store"/>
  </r>
  <r>
    <x v="0"/>
    <n v="1004"/>
    <x v="59"/>
    <x v="0"/>
    <s v="Nevada"/>
    <s v="Las Vegas"/>
    <x v="3"/>
    <x v="4"/>
    <x v="53"/>
    <x v="63"/>
    <x v="64"/>
    <x v="25"/>
    <s v="Outlet"/>
  </r>
  <r>
    <x v="3"/>
    <n v="1001"/>
    <x v="5"/>
    <x v="4"/>
    <s v="Louisiana"/>
    <s v="New Orleans"/>
    <x v="3"/>
    <x v="33"/>
    <x v="54"/>
    <x v="64"/>
    <x v="65"/>
    <x v="0"/>
    <s v="Online"/>
  </r>
  <r>
    <x v="0"/>
    <n v="1004"/>
    <x v="12"/>
    <x v="2"/>
    <s v="West Virginia"/>
    <s v="Charleston"/>
    <x v="4"/>
    <x v="22"/>
    <x v="32"/>
    <x v="41"/>
    <x v="66"/>
    <x v="1"/>
    <s v="In-store"/>
  </r>
  <r>
    <x v="0"/>
    <n v="1004"/>
    <x v="6"/>
    <x v="3"/>
    <s v="Indiana"/>
    <s v="Indianapolis"/>
    <x v="3"/>
    <x v="34"/>
    <x v="55"/>
    <x v="65"/>
    <x v="67"/>
    <x v="12"/>
    <s v="Online"/>
  </r>
  <r>
    <x v="0"/>
    <n v="1004"/>
    <x v="60"/>
    <x v="0"/>
    <s v="Colorado"/>
    <s v="Denver"/>
    <x v="1"/>
    <x v="35"/>
    <x v="56"/>
    <x v="66"/>
    <x v="68"/>
    <x v="14"/>
    <s v="Online"/>
  </r>
  <r>
    <x v="3"/>
    <n v="1001"/>
    <x v="61"/>
    <x v="3"/>
    <s v="Minnesota"/>
    <s v="Minneapolis"/>
    <x v="1"/>
    <x v="15"/>
    <x v="57"/>
    <x v="67"/>
    <x v="69"/>
    <x v="12"/>
    <s v="Online"/>
  </r>
  <r>
    <x v="3"/>
    <n v="1001"/>
    <x v="62"/>
    <x v="2"/>
    <s v="New Hampshire"/>
    <s v="Manchester"/>
    <x v="2"/>
    <x v="35"/>
    <x v="9"/>
    <x v="25"/>
    <x v="70"/>
    <x v="26"/>
    <s v="Online"/>
  </r>
  <r>
    <x v="4"/>
    <n v="1002"/>
    <x v="63"/>
    <x v="4"/>
    <s v="Mississippi"/>
    <s v="Jackson"/>
    <x v="4"/>
    <x v="27"/>
    <x v="58"/>
    <x v="68"/>
    <x v="71"/>
    <x v="10"/>
    <s v="Online"/>
  </r>
  <r>
    <x v="0"/>
    <n v="1004"/>
    <x v="62"/>
    <x v="0"/>
    <s v="Utah"/>
    <s v="Salt Lake City"/>
    <x v="2"/>
    <x v="15"/>
    <x v="58"/>
    <x v="25"/>
    <x v="72"/>
    <x v="27"/>
    <s v="Online"/>
  </r>
  <r>
    <x v="0"/>
    <n v="1004"/>
    <x v="64"/>
    <x v="4"/>
    <s v="Louisiana"/>
    <s v="New Orleans"/>
    <x v="0"/>
    <x v="36"/>
    <x v="59"/>
    <x v="69"/>
    <x v="73"/>
    <x v="16"/>
    <s v="Online"/>
  </r>
  <r>
    <x v="2"/>
    <n v="1003"/>
    <x v="65"/>
    <x v="1"/>
    <s v="Georgia"/>
    <s v="Atlanta"/>
    <x v="4"/>
    <x v="3"/>
    <x v="60"/>
    <x v="70"/>
    <x v="74"/>
    <x v="10"/>
    <s v="Online"/>
  </r>
  <r>
    <x v="2"/>
    <n v="1003"/>
    <x v="66"/>
    <x v="2"/>
    <s v="Massachusetts"/>
    <s v="Boston"/>
    <x v="0"/>
    <x v="33"/>
    <x v="61"/>
    <x v="71"/>
    <x v="75"/>
    <x v="28"/>
    <s v="Online"/>
  </r>
  <r>
    <x v="1"/>
    <n v="1006"/>
    <x v="67"/>
    <x v="1"/>
    <s v="Kentucky"/>
    <s v="Louisville"/>
    <x v="3"/>
    <x v="15"/>
    <x v="62"/>
    <x v="72"/>
    <x v="76"/>
    <x v="2"/>
    <s v="Online"/>
  </r>
  <r>
    <x v="3"/>
    <n v="1001"/>
    <x v="68"/>
    <x v="2"/>
    <s v="New York"/>
    <s v="New York"/>
    <x v="2"/>
    <x v="17"/>
    <x v="63"/>
    <x v="73"/>
    <x v="77"/>
    <x v="25"/>
    <s v="Outlet"/>
  </r>
  <r>
    <x v="5"/>
    <n v="1005"/>
    <x v="69"/>
    <x v="4"/>
    <s v="Oklahoma"/>
    <s v="Oklahoma City"/>
    <x v="1"/>
    <x v="0"/>
    <x v="64"/>
    <x v="74"/>
    <x v="78"/>
    <x v="17"/>
    <s v="Outlet"/>
  </r>
  <r>
    <x v="1"/>
    <n v="1006"/>
    <x v="70"/>
    <x v="2"/>
    <s v="Maine"/>
    <s v="Portland"/>
    <x v="3"/>
    <x v="7"/>
    <x v="65"/>
    <x v="75"/>
    <x v="79"/>
    <x v="13"/>
    <s v="Outlet"/>
  </r>
  <r>
    <x v="2"/>
    <n v="1003"/>
    <x v="13"/>
    <x v="3"/>
    <s v="Michigan"/>
    <s v="Detroit"/>
    <x v="0"/>
    <x v="22"/>
    <x v="66"/>
    <x v="76"/>
    <x v="80"/>
    <x v="13"/>
    <s v="In-store"/>
  </r>
  <r>
    <x v="1"/>
    <n v="1006"/>
    <x v="70"/>
    <x v="2"/>
    <s v="Maine"/>
    <s v="Portland"/>
    <x v="5"/>
    <x v="23"/>
    <x v="61"/>
    <x v="77"/>
    <x v="81"/>
    <x v="12"/>
    <s v="Online"/>
  </r>
  <r>
    <x v="0"/>
    <n v="1004"/>
    <x v="71"/>
    <x v="0"/>
    <s v="Washington"/>
    <s v="Seattle"/>
    <x v="4"/>
    <x v="37"/>
    <x v="67"/>
    <x v="78"/>
    <x v="82"/>
    <x v="1"/>
    <s v="Online"/>
  </r>
  <r>
    <x v="5"/>
    <n v="1005"/>
    <x v="15"/>
    <x v="2"/>
    <s v="New York"/>
    <s v="Albany"/>
    <x v="5"/>
    <x v="7"/>
    <x v="52"/>
    <x v="62"/>
    <x v="63"/>
    <x v="25"/>
    <s v="In-store"/>
  </r>
  <r>
    <x v="0"/>
    <n v="1004"/>
    <x v="72"/>
    <x v="0"/>
    <s v="Idaho"/>
    <s v="Boise"/>
    <x v="4"/>
    <x v="28"/>
    <x v="68"/>
    <x v="79"/>
    <x v="83"/>
    <x v="29"/>
    <s v="Outlet"/>
  </r>
  <r>
    <x v="4"/>
    <n v="1002"/>
    <x v="73"/>
    <x v="4"/>
    <s v="Texas"/>
    <s v="Houston"/>
    <x v="4"/>
    <x v="8"/>
    <x v="69"/>
    <x v="80"/>
    <x v="84"/>
    <x v="30"/>
    <s v="Outlet"/>
  </r>
  <r>
    <x v="2"/>
    <n v="1003"/>
    <x v="74"/>
    <x v="4"/>
    <s v="Alabama"/>
    <s v="Birmingham"/>
    <x v="4"/>
    <x v="9"/>
    <x v="61"/>
    <x v="81"/>
    <x v="85"/>
    <x v="10"/>
    <s v="Online"/>
  </r>
  <r>
    <x v="2"/>
    <n v="1003"/>
    <x v="75"/>
    <x v="0"/>
    <s v="Idaho"/>
    <s v="Boise"/>
    <x v="4"/>
    <x v="14"/>
    <x v="70"/>
    <x v="82"/>
    <x v="86"/>
    <x v="28"/>
    <s v="Outlet"/>
  </r>
  <r>
    <x v="3"/>
    <n v="1001"/>
    <x v="76"/>
    <x v="1"/>
    <s v="South Carolina"/>
    <s v="Charleston"/>
    <x v="1"/>
    <x v="7"/>
    <x v="71"/>
    <x v="83"/>
    <x v="87"/>
    <x v="26"/>
    <s v="Online"/>
  </r>
  <r>
    <x v="3"/>
    <n v="1001"/>
    <x v="77"/>
    <x v="3"/>
    <s v="South Dakota"/>
    <s v="Sioux Falls"/>
    <x v="1"/>
    <x v="3"/>
    <x v="72"/>
    <x v="84"/>
    <x v="88"/>
    <x v="13"/>
    <s v="Online"/>
  </r>
  <r>
    <x v="2"/>
    <n v="1003"/>
    <x v="78"/>
    <x v="4"/>
    <s v="Alabama"/>
    <s v="Birmingham"/>
    <x v="2"/>
    <x v="38"/>
    <x v="73"/>
    <x v="19"/>
    <x v="89"/>
    <x v="31"/>
    <s v="Outlet"/>
  </r>
  <r>
    <x v="1"/>
    <n v="1006"/>
    <x v="79"/>
    <x v="3"/>
    <s v="Ohio"/>
    <s v="Columbus"/>
    <x v="2"/>
    <x v="39"/>
    <x v="66"/>
    <x v="85"/>
    <x v="90"/>
    <x v="12"/>
    <s v="Online"/>
  </r>
  <r>
    <x v="2"/>
    <n v="1003"/>
    <x v="80"/>
    <x v="3"/>
    <s v="Michigan"/>
    <s v="Detroit"/>
    <x v="1"/>
    <x v="18"/>
    <x v="74"/>
    <x v="86"/>
    <x v="91"/>
    <x v="32"/>
    <s v="Online"/>
  </r>
  <r>
    <x v="4"/>
    <n v="1002"/>
    <x v="81"/>
    <x v="1"/>
    <s v="Florida"/>
    <s v="Orlando"/>
    <x v="5"/>
    <x v="40"/>
    <x v="75"/>
    <x v="87"/>
    <x v="92"/>
    <x v="33"/>
    <s v="Outlet"/>
  </r>
  <r>
    <x v="0"/>
    <n v="1004"/>
    <x v="82"/>
    <x v="0"/>
    <s v="California"/>
    <s v="San Francisco"/>
    <x v="2"/>
    <x v="25"/>
    <x v="76"/>
    <x v="88"/>
    <x v="93"/>
    <x v="34"/>
    <s v="Outlet"/>
  </r>
  <r>
    <x v="2"/>
    <n v="1003"/>
    <x v="83"/>
    <x v="4"/>
    <s v="Texas"/>
    <s v="Houston"/>
    <x v="5"/>
    <x v="18"/>
    <x v="21"/>
    <x v="21"/>
    <x v="94"/>
    <x v="4"/>
    <s v="Online"/>
  </r>
  <r>
    <x v="2"/>
    <n v="1003"/>
    <x v="84"/>
    <x v="4"/>
    <s v="Texas"/>
    <s v="Dallas"/>
    <x v="5"/>
    <x v="4"/>
    <x v="77"/>
    <x v="89"/>
    <x v="95"/>
    <x v="1"/>
    <s v="Outlet"/>
  </r>
  <r>
    <x v="3"/>
    <n v="1001"/>
    <x v="85"/>
    <x v="2"/>
    <s v="Pennsylvania"/>
    <s v="Philadelphia"/>
    <x v="3"/>
    <x v="24"/>
    <x v="78"/>
    <x v="90"/>
    <x v="96"/>
    <x v="35"/>
    <s v="Outlet"/>
  </r>
  <r>
    <x v="3"/>
    <n v="1001"/>
    <x v="86"/>
    <x v="3"/>
    <s v="Minnesota"/>
    <s v="Minneapolis"/>
    <x v="5"/>
    <x v="4"/>
    <x v="32"/>
    <x v="52"/>
    <x v="97"/>
    <x v="3"/>
    <s v="Outlet"/>
  </r>
  <r>
    <x v="0"/>
    <n v="1004"/>
    <x v="87"/>
    <x v="0"/>
    <s v="Nevada"/>
    <s v="Las Vegas"/>
    <x v="0"/>
    <x v="12"/>
    <x v="79"/>
    <x v="91"/>
    <x v="98"/>
    <x v="2"/>
    <s v="Online"/>
  </r>
  <r>
    <x v="1"/>
    <n v="1006"/>
    <x v="88"/>
    <x v="3"/>
    <s v="Ohio"/>
    <s v="Columbus"/>
    <x v="4"/>
    <x v="1"/>
    <x v="7"/>
    <x v="92"/>
    <x v="99"/>
    <x v="13"/>
    <s v="Online"/>
  </r>
  <r>
    <x v="2"/>
    <n v="1003"/>
    <x v="27"/>
    <x v="4"/>
    <s v="Mississippi"/>
    <s v="Jackson"/>
    <x v="1"/>
    <x v="41"/>
    <x v="5"/>
    <x v="93"/>
    <x v="100"/>
    <x v="15"/>
    <s v="Online"/>
  </r>
  <r>
    <x v="2"/>
    <n v="1003"/>
    <x v="89"/>
    <x v="4"/>
    <s v="Texas"/>
    <s v="Dallas"/>
    <x v="4"/>
    <x v="22"/>
    <x v="34"/>
    <x v="94"/>
    <x v="101"/>
    <x v="3"/>
    <s v="Outlet"/>
  </r>
  <r>
    <x v="0"/>
    <n v="1004"/>
    <x v="90"/>
    <x v="0"/>
    <s v="Washington"/>
    <s v="Seattle"/>
    <x v="2"/>
    <x v="42"/>
    <x v="40"/>
    <x v="95"/>
    <x v="102"/>
    <x v="29"/>
    <s v="Online"/>
  </r>
  <r>
    <x v="5"/>
    <n v="1005"/>
    <x v="91"/>
    <x v="2"/>
    <s v="New Jersey"/>
    <s v="Newark"/>
    <x v="1"/>
    <x v="17"/>
    <x v="48"/>
    <x v="96"/>
    <x v="103"/>
    <x v="13"/>
    <s v="In-store"/>
  </r>
  <r>
    <x v="4"/>
    <n v="1002"/>
    <x v="92"/>
    <x v="4"/>
    <s v="Arkansas"/>
    <s v="Little Rock"/>
    <x v="3"/>
    <x v="43"/>
    <x v="53"/>
    <x v="97"/>
    <x v="104"/>
    <x v="13"/>
    <s v="Online"/>
  </r>
  <r>
    <x v="4"/>
    <n v="1002"/>
    <x v="93"/>
    <x v="1"/>
    <s v="Florida"/>
    <s v="Orlando"/>
    <x v="0"/>
    <x v="15"/>
    <x v="80"/>
    <x v="98"/>
    <x v="105"/>
    <x v="29"/>
    <s v="Outlet"/>
  </r>
  <r>
    <x v="0"/>
    <n v="1004"/>
    <x v="94"/>
    <x v="2"/>
    <s v="Pennsylvania"/>
    <s v="Philadelphia"/>
    <x v="1"/>
    <x v="22"/>
    <x v="81"/>
    <x v="99"/>
    <x v="106"/>
    <x v="1"/>
    <s v="Outlet"/>
  </r>
  <r>
    <x v="3"/>
    <n v="1001"/>
    <x v="79"/>
    <x v="0"/>
    <s v="Hawaii"/>
    <s v="Honolulu"/>
    <x v="3"/>
    <x v="7"/>
    <x v="82"/>
    <x v="100"/>
    <x v="107"/>
    <x v="34"/>
    <s v="Outlet"/>
  </r>
  <r>
    <x v="0"/>
    <n v="1004"/>
    <x v="95"/>
    <x v="0"/>
    <s v="Utah"/>
    <s v="Salt Lake City"/>
    <x v="1"/>
    <x v="39"/>
    <x v="83"/>
    <x v="60"/>
    <x v="108"/>
    <x v="1"/>
    <s v="In-store"/>
  </r>
  <r>
    <x v="3"/>
    <n v="1001"/>
    <x v="96"/>
    <x v="1"/>
    <s v="South Carolina"/>
    <s v="Charleston"/>
    <x v="3"/>
    <x v="3"/>
    <x v="76"/>
    <x v="101"/>
    <x v="109"/>
    <x v="13"/>
    <s v="Online"/>
  </r>
  <r>
    <x v="1"/>
    <n v="1006"/>
    <x v="97"/>
    <x v="2"/>
    <s v="Vermont"/>
    <s v="Burlington"/>
    <x v="2"/>
    <x v="4"/>
    <x v="65"/>
    <x v="102"/>
    <x v="110"/>
    <x v="1"/>
    <s v="In-store"/>
  </r>
  <r>
    <x v="4"/>
    <n v="1002"/>
    <x v="98"/>
    <x v="2"/>
    <s v="New York"/>
    <s v="New York"/>
    <x v="3"/>
    <x v="17"/>
    <x v="84"/>
    <x v="103"/>
    <x v="111"/>
    <x v="17"/>
    <s v="Online"/>
  </r>
  <r>
    <x v="4"/>
    <n v="1002"/>
    <x v="99"/>
    <x v="4"/>
    <s v="Texas"/>
    <s v="Houston"/>
    <x v="1"/>
    <x v="6"/>
    <x v="85"/>
    <x v="104"/>
    <x v="112"/>
    <x v="0"/>
    <s v="Outlet"/>
  </r>
  <r>
    <x v="0"/>
    <n v="1004"/>
    <x v="100"/>
    <x v="0"/>
    <s v="Washington"/>
    <s v="Seattle"/>
    <x v="3"/>
    <x v="25"/>
    <x v="52"/>
    <x v="73"/>
    <x v="77"/>
    <x v="25"/>
    <s v="In-store"/>
  </r>
  <r>
    <x v="0"/>
    <n v="1004"/>
    <x v="101"/>
    <x v="0"/>
    <s v="California"/>
    <s v="San Francisco"/>
    <x v="0"/>
    <x v="2"/>
    <x v="86"/>
    <x v="105"/>
    <x v="113"/>
    <x v="29"/>
    <s v="Outlet"/>
  </r>
  <r>
    <x v="3"/>
    <n v="1001"/>
    <x v="102"/>
    <x v="2"/>
    <s v="Rhode Island"/>
    <s v="Providence"/>
    <x v="0"/>
    <x v="15"/>
    <x v="87"/>
    <x v="106"/>
    <x v="114"/>
    <x v="15"/>
    <s v="Online"/>
  </r>
  <r>
    <x v="0"/>
    <n v="1004"/>
    <x v="103"/>
    <x v="3"/>
    <s v="Indiana"/>
    <s v="Indianapolis"/>
    <x v="0"/>
    <x v="1"/>
    <x v="17"/>
    <x v="107"/>
    <x v="115"/>
    <x v="13"/>
    <s v="In-store"/>
  </r>
  <r>
    <x v="1"/>
    <n v="1006"/>
    <x v="104"/>
    <x v="2"/>
    <s v="Vermont"/>
    <s v="Burlington"/>
    <x v="4"/>
    <x v="17"/>
    <x v="88"/>
    <x v="108"/>
    <x v="116"/>
    <x v="5"/>
    <s v="Outlet"/>
  </r>
  <r>
    <x v="0"/>
    <n v="1004"/>
    <x v="22"/>
    <x v="4"/>
    <s v="Oklahoma"/>
    <s v="Oklahoma City"/>
    <x v="1"/>
    <x v="17"/>
    <x v="77"/>
    <x v="109"/>
    <x v="117"/>
    <x v="1"/>
    <s v="Online"/>
  </r>
  <r>
    <x v="2"/>
    <n v="1003"/>
    <x v="105"/>
    <x v="1"/>
    <s v="Georgia"/>
    <s v="Atlanta"/>
    <x v="2"/>
    <x v="41"/>
    <x v="2"/>
    <x v="110"/>
    <x v="118"/>
    <x v="36"/>
    <s v="Outlet"/>
  </r>
  <r>
    <x v="4"/>
    <n v="1002"/>
    <x v="21"/>
    <x v="4"/>
    <s v="Arkansas"/>
    <s v="Little Rock"/>
    <x v="3"/>
    <x v="13"/>
    <x v="5"/>
    <x v="111"/>
    <x v="119"/>
    <x v="5"/>
    <s v="Outlet"/>
  </r>
  <r>
    <x v="1"/>
    <n v="1006"/>
    <x v="106"/>
    <x v="2"/>
    <s v="Massachusetts"/>
    <s v="Boston"/>
    <x v="5"/>
    <x v="21"/>
    <x v="89"/>
    <x v="112"/>
    <x v="120"/>
    <x v="5"/>
    <s v="Online"/>
  </r>
  <r>
    <x v="0"/>
    <n v="1004"/>
    <x v="72"/>
    <x v="0"/>
    <s v="Idaho"/>
    <s v="Boise"/>
    <x v="2"/>
    <x v="15"/>
    <x v="90"/>
    <x v="113"/>
    <x v="121"/>
    <x v="8"/>
    <s v="Outlet"/>
  </r>
  <r>
    <x v="4"/>
    <n v="1002"/>
    <x v="81"/>
    <x v="1"/>
    <s v="Florida"/>
    <s v="Orlando"/>
    <x v="0"/>
    <x v="12"/>
    <x v="91"/>
    <x v="114"/>
    <x v="122"/>
    <x v="33"/>
    <s v="Outlet"/>
  </r>
  <r>
    <x v="0"/>
    <n v="1004"/>
    <x v="107"/>
    <x v="0"/>
    <s v="California"/>
    <s v="San Francisco"/>
    <x v="2"/>
    <x v="44"/>
    <x v="92"/>
    <x v="115"/>
    <x v="123"/>
    <x v="37"/>
    <s v="Online"/>
  </r>
  <r>
    <x v="1"/>
    <n v="1006"/>
    <x v="108"/>
    <x v="2"/>
    <s v="New Hampshire"/>
    <s v="Manchester"/>
    <x v="5"/>
    <x v="33"/>
    <x v="42"/>
    <x v="116"/>
    <x v="124"/>
    <x v="29"/>
    <s v="Outlet"/>
  </r>
  <r>
    <x v="0"/>
    <n v="1004"/>
    <x v="109"/>
    <x v="0"/>
    <s v="Washington"/>
    <s v="Seattle"/>
    <x v="5"/>
    <x v="45"/>
    <x v="81"/>
    <x v="117"/>
    <x v="125"/>
    <x v="25"/>
    <s v="In-store"/>
  </r>
  <r>
    <x v="3"/>
    <n v="1001"/>
    <x v="110"/>
    <x v="3"/>
    <s v="Nebraska"/>
    <s v="Omaha"/>
    <x v="1"/>
    <x v="22"/>
    <x v="66"/>
    <x v="76"/>
    <x v="126"/>
    <x v="1"/>
    <s v="Outlet"/>
  </r>
  <r>
    <x v="0"/>
    <n v="1004"/>
    <x v="111"/>
    <x v="3"/>
    <s v="Indiana"/>
    <s v="Indianapolis"/>
    <x v="2"/>
    <x v="3"/>
    <x v="34"/>
    <x v="60"/>
    <x v="108"/>
    <x v="1"/>
    <s v="In-store"/>
  </r>
  <r>
    <x v="0"/>
    <n v="1004"/>
    <x v="112"/>
    <x v="0"/>
    <s v="Nevada"/>
    <s v="Las Vegas"/>
    <x v="4"/>
    <x v="16"/>
    <x v="40"/>
    <x v="118"/>
    <x v="127"/>
    <x v="38"/>
    <s v="Outlet"/>
  </r>
  <r>
    <x v="5"/>
    <n v="1005"/>
    <x v="113"/>
    <x v="2"/>
    <s v="Delaware"/>
    <s v="Wilmington"/>
    <x v="1"/>
    <x v="33"/>
    <x v="93"/>
    <x v="119"/>
    <x v="128"/>
    <x v="12"/>
    <s v="Online"/>
  </r>
  <r>
    <x v="2"/>
    <n v="1003"/>
    <x v="114"/>
    <x v="4"/>
    <s v="Texas"/>
    <s v="Dallas"/>
    <x v="1"/>
    <x v="34"/>
    <x v="94"/>
    <x v="120"/>
    <x v="129"/>
    <x v="9"/>
    <s v="Online"/>
  </r>
  <r>
    <x v="2"/>
    <n v="1003"/>
    <x v="115"/>
    <x v="4"/>
    <s v="Mississippi"/>
    <s v="Jackson"/>
    <x v="3"/>
    <x v="3"/>
    <x v="77"/>
    <x v="121"/>
    <x v="130"/>
    <x v="13"/>
    <s v="Online"/>
  </r>
  <r>
    <x v="0"/>
    <n v="1004"/>
    <x v="116"/>
    <x v="2"/>
    <s v="Maryland"/>
    <s v="Baltimore"/>
    <x v="1"/>
    <x v="17"/>
    <x v="95"/>
    <x v="122"/>
    <x v="131"/>
    <x v="1"/>
    <s v="In-store"/>
  </r>
  <r>
    <x v="4"/>
    <n v="1002"/>
    <x v="117"/>
    <x v="0"/>
    <s v="Hawaii"/>
    <s v="Honolulu"/>
    <x v="4"/>
    <x v="29"/>
    <x v="4"/>
    <x v="123"/>
    <x v="132"/>
    <x v="39"/>
    <s v="Outlet"/>
  </r>
  <r>
    <x v="1"/>
    <n v="1006"/>
    <x v="118"/>
    <x v="2"/>
    <s v="New Hampshire"/>
    <s v="Manchester"/>
    <x v="3"/>
    <x v="1"/>
    <x v="0"/>
    <x v="124"/>
    <x v="133"/>
    <x v="27"/>
    <s v="Outlet"/>
  </r>
  <r>
    <x v="2"/>
    <n v="1003"/>
    <x v="119"/>
    <x v="2"/>
    <s v="Connecticut"/>
    <s v="Hartford"/>
    <x v="0"/>
    <x v="22"/>
    <x v="96"/>
    <x v="125"/>
    <x v="134"/>
    <x v="3"/>
    <s v="In-store"/>
  </r>
  <r>
    <x v="0"/>
    <n v="1004"/>
    <x v="101"/>
    <x v="0"/>
    <s v="California"/>
    <s v="San Francisco"/>
    <x v="0"/>
    <x v="35"/>
    <x v="86"/>
    <x v="126"/>
    <x v="135"/>
    <x v="11"/>
    <s v="Online"/>
  </r>
  <r>
    <x v="3"/>
    <n v="1001"/>
    <x v="120"/>
    <x v="3"/>
    <s v="Michigan"/>
    <s v="Detroit"/>
    <x v="2"/>
    <x v="19"/>
    <x v="5"/>
    <x v="127"/>
    <x v="136"/>
    <x v="40"/>
    <s v="Online"/>
  </r>
  <r>
    <x v="0"/>
    <n v="1004"/>
    <x v="19"/>
    <x v="2"/>
    <s v="New York"/>
    <s v="Albany"/>
    <x v="4"/>
    <x v="21"/>
    <x v="97"/>
    <x v="128"/>
    <x v="137"/>
    <x v="19"/>
    <s v="Online"/>
  </r>
  <r>
    <x v="0"/>
    <n v="1004"/>
    <x v="32"/>
    <x v="0"/>
    <s v="Oregon"/>
    <s v="Portland"/>
    <x v="3"/>
    <x v="16"/>
    <x v="92"/>
    <x v="129"/>
    <x v="138"/>
    <x v="11"/>
    <s v="Outlet"/>
  </r>
  <r>
    <x v="3"/>
    <n v="1001"/>
    <x v="69"/>
    <x v="2"/>
    <s v="Pennsylvania"/>
    <s v="Philadelphia"/>
    <x v="2"/>
    <x v="21"/>
    <x v="9"/>
    <x v="130"/>
    <x v="139"/>
    <x v="41"/>
    <s v="Outlet"/>
  </r>
  <r>
    <x v="2"/>
    <n v="1003"/>
    <x v="121"/>
    <x v="4"/>
    <s v="Alabama"/>
    <s v="Birmingham"/>
    <x v="2"/>
    <x v="46"/>
    <x v="86"/>
    <x v="131"/>
    <x v="140"/>
    <x v="42"/>
    <s v="Online"/>
  </r>
  <r>
    <x v="1"/>
    <n v="1006"/>
    <x v="122"/>
    <x v="1"/>
    <s v="Kentucky"/>
    <s v="Louisville"/>
    <x v="1"/>
    <x v="17"/>
    <x v="1"/>
    <x v="132"/>
    <x v="103"/>
    <x v="1"/>
    <s v="Online"/>
  </r>
  <r>
    <x v="4"/>
    <n v="1002"/>
    <x v="123"/>
    <x v="2"/>
    <s v="New York"/>
    <s v="New York"/>
    <x v="1"/>
    <x v="29"/>
    <x v="98"/>
    <x v="133"/>
    <x v="141"/>
    <x v="12"/>
    <s v="Outlet"/>
  </r>
  <r>
    <x v="4"/>
    <n v="1002"/>
    <x v="124"/>
    <x v="4"/>
    <s v="Texas"/>
    <s v="Houston"/>
    <x v="3"/>
    <x v="28"/>
    <x v="99"/>
    <x v="134"/>
    <x v="142"/>
    <x v="19"/>
    <s v="Online"/>
  </r>
  <r>
    <x v="3"/>
    <n v="1001"/>
    <x v="108"/>
    <x v="3"/>
    <s v="Missouri"/>
    <s v="St. Louis"/>
    <x v="4"/>
    <x v="14"/>
    <x v="33"/>
    <x v="135"/>
    <x v="143"/>
    <x v="19"/>
    <s v="Online"/>
  </r>
  <r>
    <x v="0"/>
    <n v="1004"/>
    <x v="125"/>
    <x v="0"/>
    <s v="California"/>
    <s v="San Francisco"/>
    <x v="2"/>
    <x v="25"/>
    <x v="44"/>
    <x v="136"/>
    <x v="1"/>
    <x v="39"/>
    <s v="Outlet"/>
  </r>
  <r>
    <x v="5"/>
    <n v="1005"/>
    <x v="126"/>
    <x v="0"/>
    <s v="New Mexico"/>
    <s v="Albuquerque"/>
    <x v="5"/>
    <x v="3"/>
    <x v="7"/>
    <x v="57"/>
    <x v="1"/>
    <x v="13"/>
    <s v="Online"/>
  </r>
  <r>
    <x v="3"/>
    <n v="1001"/>
    <x v="127"/>
    <x v="3"/>
    <s v="South Dakota"/>
    <s v="Sioux Falls"/>
    <x v="0"/>
    <x v="1"/>
    <x v="39"/>
    <x v="137"/>
    <x v="48"/>
    <x v="3"/>
    <s v="Online"/>
  </r>
  <r>
    <x v="3"/>
    <n v="1001"/>
    <x v="77"/>
    <x v="3"/>
    <s v="South Dakota"/>
    <s v="Sioux Falls"/>
    <x v="2"/>
    <x v="20"/>
    <x v="61"/>
    <x v="138"/>
    <x v="144"/>
    <x v="9"/>
    <s v="Online"/>
  </r>
  <r>
    <x v="1"/>
    <n v="1006"/>
    <x v="30"/>
    <x v="2"/>
    <s v="New Hampshire"/>
    <s v="Manchester"/>
    <x v="1"/>
    <x v="12"/>
    <x v="29"/>
    <x v="139"/>
    <x v="145"/>
    <x v="24"/>
    <s v="Online"/>
  </r>
  <r>
    <x v="2"/>
    <n v="1003"/>
    <x v="29"/>
    <x v="1"/>
    <s v="North Carolina"/>
    <s v="Charlotte"/>
    <x v="5"/>
    <x v="18"/>
    <x v="40"/>
    <x v="140"/>
    <x v="146"/>
    <x v="9"/>
    <s v="Online"/>
  </r>
  <r>
    <x v="5"/>
    <n v="1005"/>
    <x v="128"/>
    <x v="3"/>
    <s v="Kansas"/>
    <s v="Wichita"/>
    <x v="3"/>
    <x v="34"/>
    <x v="100"/>
    <x v="141"/>
    <x v="147"/>
    <x v="12"/>
    <s v="Online"/>
  </r>
  <r>
    <x v="2"/>
    <n v="1003"/>
    <x v="129"/>
    <x v="4"/>
    <s v="Tennessee"/>
    <s v="Knoxville"/>
    <x v="3"/>
    <x v="7"/>
    <x v="28"/>
    <x v="142"/>
    <x v="148"/>
    <x v="26"/>
    <s v="Outlet"/>
  </r>
  <r>
    <x v="5"/>
    <n v="1005"/>
    <x v="16"/>
    <x v="4"/>
    <s v="Oklahoma"/>
    <s v="Oklahoma City"/>
    <x v="4"/>
    <x v="32"/>
    <x v="101"/>
    <x v="143"/>
    <x v="149"/>
    <x v="10"/>
    <s v="Online"/>
  </r>
  <r>
    <x v="5"/>
    <n v="1005"/>
    <x v="130"/>
    <x v="0"/>
    <s v="California"/>
    <s v="Los Angeles"/>
    <x v="4"/>
    <x v="7"/>
    <x v="102"/>
    <x v="144"/>
    <x v="150"/>
    <x v="40"/>
    <s v="Online"/>
  </r>
  <r>
    <x v="0"/>
    <n v="1004"/>
    <x v="131"/>
    <x v="2"/>
    <s v="Maryland"/>
    <s v="Baltimore"/>
    <x v="2"/>
    <x v="22"/>
    <x v="39"/>
    <x v="145"/>
    <x v="151"/>
    <x v="3"/>
    <s v="In-store"/>
  </r>
  <r>
    <x v="3"/>
    <n v="1001"/>
    <x v="72"/>
    <x v="3"/>
    <s v="Nebraska"/>
    <s v="Omaha"/>
    <x v="5"/>
    <x v="27"/>
    <x v="103"/>
    <x v="146"/>
    <x v="152"/>
    <x v="12"/>
    <s v="Online"/>
  </r>
  <r>
    <x v="3"/>
    <n v="1001"/>
    <x v="132"/>
    <x v="1"/>
    <s v="South Carolina"/>
    <s v="Charleston"/>
    <x v="1"/>
    <x v="6"/>
    <x v="104"/>
    <x v="147"/>
    <x v="153"/>
    <x v="43"/>
    <s v="Online"/>
  </r>
  <r>
    <x v="0"/>
    <n v="1004"/>
    <x v="81"/>
    <x v="2"/>
    <s v="West Virginia"/>
    <s v="Charleston"/>
    <x v="5"/>
    <x v="9"/>
    <x v="105"/>
    <x v="148"/>
    <x v="154"/>
    <x v="44"/>
    <s v="Online"/>
  </r>
  <r>
    <x v="5"/>
    <n v="1005"/>
    <x v="48"/>
    <x v="0"/>
    <s v="New Mexico"/>
    <s v="Albuquerque"/>
    <x v="5"/>
    <x v="26"/>
    <x v="106"/>
    <x v="149"/>
    <x v="155"/>
    <x v="2"/>
    <s v="Online"/>
  </r>
  <r>
    <x v="3"/>
    <n v="1001"/>
    <x v="133"/>
    <x v="0"/>
    <s v="Hawaii"/>
    <s v="Honolulu"/>
    <x v="0"/>
    <x v="7"/>
    <x v="65"/>
    <x v="75"/>
    <x v="156"/>
    <x v="25"/>
    <s v="Outlet"/>
  </r>
  <r>
    <x v="3"/>
    <n v="1001"/>
    <x v="134"/>
    <x v="0"/>
    <s v="Arizona"/>
    <s v="Phoenix"/>
    <x v="5"/>
    <x v="4"/>
    <x v="30"/>
    <x v="150"/>
    <x v="157"/>
    <x v="13"/>
    <s v="Online"/>
  </r>
  <r>
    <x v="0"/>
    <n v="1004"/>
    <x v="135"/>
    <x v="0"/>
    <s v="Washington"/>
    <s v="Seattle"/>
    <x v="1"/>
    <x v="47"/>
    <x v="107"/>
    <x v="151"/>
    <x v="158"/>
    <x v="17"/>
    <s v="Online"/>
  </r>
  <r>
    <x v="0"/>
    <n v="1004"/>
    <x v="136"/>
    <x v="0"/>
    <s v="Washington"/>
    <s v="Seattle"/>
    <x v="4"/>
    <x v="32"/>
    <x v="108"/>
    <x v="152"/>
    <x v="159"/>
    <x v="28"/>
    <s v="Online"/>
  </r>
  <r>
    <x v="3"/>
    <n v="1001"/>
    <x v="137"/>
    <x v="0"/>
    <s v="Washington"/>
    <s v="Seattle"/>
    <x v="1"/>
    <x v="4"/>
    <x v="71"/>
    <x v="153"/>
    <x v="160"/>
    <x v="26"/>
    <s v="In-store"/>
  </r>
  <r>
    <x v="5"/>
    <n v="1005"/>
    <x v="118"/>
    <x v="0"/>
    <s v="California"/>
    <s v="Los Angeles"/>
    <x v="4"/>
    <x v="3"/>
    <x v="48"/>
    <x v="154"/>
    <x v="161"/>
    <x v="8"/>
    <s v="Outlet"/>
  </r>
  <r>
    <x v="3"/>
    <n v="1001"/>
    <x v="138"/>
    <x v="0"/>
    <s v="Arizona"/>
    <s v="Phoenix"/>
    <x v="4"/>
    <x v="35"/>
    <x v="24"/>
    <x v="155"/>
    <x v="162"/>
    <x v="11"/>
    <s v="Online"/>
  </r>
  <r>
    <x v="3"/>
    <n v="1001"/>
    <x v="139"/>
    <x v="1"/>
    <s v="South Carolina"/>
    <s v="Charleston"/>
    <x v="1"/>
    <x v="29"/>
    <x v="109"/>
    <x v="156"/>
    <x v="163"/>
    <x v="26"/>
    <s v="Online"/>
  </r>
  <r>
    <x v="3"/>
    <n v="1001"/>
    <x v="140"/>
    <x v="2"/>
    <s v="Rhode Island"/>
    <s v="Providence"/>
    <x v="4"/>
    <x v="48"/>
    <x v="110"/>
    <x v="157"/>
    <x v="164"/>
    <x v="1"/>
    <s v="Online"/>
  </r>
  <r>
    <x v="0"/>
    <n v="1004"/>
    <x v="141"/>
    <x v="0"/>
    <s v="Utah"/>
    <s v="Salt Lake City"/>
    <x v="1"/>
    <x v="41"/>
    <x v="111"/>
    <x v="158"/>
    <x v="165"/>
    <x v="9"/>
    <s v="Online"/>
  </r>
  <r>
    <x v="0"/>
    <n v="1004"/>
    <x v="142"/>
    <x v="0"/>
    <s v="California"/>
    <s v="San Francisco"/>
    <x v="4"/>
    <x v="19"/>
    <x v="112"/>
    <x v="159"/>
    <x v="166"/>
    <x v="45"/>
    <s v="Outlet"/>
  </r>
  <r>
    <x v="0"/>
    <n v="1004"/>
    <x v="143"/>
    <x v="4"/>
    <s v="Louisiana"/>
    <s v="New Orleans"/>
    <x v="0"/>
    <x v="42"/>
    <x v="113"/>
    <x v="160"/>
    <x v="167"/>
    <x v="15"/>
    <s v="Online"/>
  </r>
  <r>
    <x v="3"/>
    <n v="1001"/>
    <x v="144"/>
    <x v="1"/>
    <s v="South Carolina"/>
    <s v="Charleston"/>
    <x v="4"/>
    <x v="17"/>
    <x v="44"/>
    <x v="161"/>
    <x v="168"/>
    <x v="13"/>
    <s v="Online"/>
  </r>
  <r>
    <x v="5"/>
    <n v="1005"/>
    <x v="145"/>
    <x v="3"/>
    <s v="Montana"/>
    <s v="Billings"/>
    <x v="1"/>
    <x v="1"/>
    <x v="114"/>
    <x v="162"/>
    <x v="169"/>
    <x v="26"/>
    <s v="Outlet"/>
  </r>
  <r>
    <x v="0"/>
    <n v="1004"/>
    <x v="81"/>
    <x v="2"/>
    <s v="West Virginia"/>
    <s v="Charleston"/>
    <x v="3"/>
    <x v="4"/>
    <x v="51"/>
    <x v="103"/>
    <x v="170"/>
    <x v="1"/>
    <s v="In-store"/>
  </r>
  <r>
    <x v="0"/>
    <n v="1004"/>
    <x v="146"/>
    <x v="0"/>
    <s v="Colorado"/>
    <s v="Denver"/>
    <x v="2"/>
    <x v="24"/>
    <x v="115"/>
    <x v="12"/>
    <x v="171"/>
    <x v="46"/>
    <s v="Online"/>
  </r>
  <r>
    <x v="2"/>
    <n v="1003"/>
    <x v="4"/>
    <x v="3"/>
    <s v="South Dakota"/>
    <s v="Sioux Falls"/>
    <x v="4"/>
    <x v="3"/>
    <x v="40"/>
    <x v="163"/>
    <x v="66"/>
    <x v="13"/>
    <s v="Online"/>
  </r>
  <r>
    <x v="3"/>
    <n v="1001"/>
    <x v="147"/>
    <x v="3"/>
    <s v="Minnesota"/>
    <s v="Minneapolis"/>
    <x v="0"/>
    <x v="49"/>
    <x v="24"/>
    <x v="164"/>
    <x v="172"/>
    <x v="4"/>
    <s v="Online"/>
  </r>
  <r>
    <x v="5"/>
    <n v="1005"/>
    <x v="148"/>
    <x v="0"/>
    <s v="New Mexico"/>
    <s v="Albuquerque"/>
    <x v="1"/>
    <x v="3"/>
    <x v="20"/>
    <x v="165"/>
    <x v="173"/>
    <x v="13"/>
    <s v="Online"/>
  </r>
  <r>
    <x v="2"/>
    <n v="1003"/>
    <x v="102"/>
    <x v="4"/>
    <s v="Alabama"/>
    <s v="Birmingham"/>
    <x v="1"/>
    <x v="4"/>
    <x v="116"/>
    <x v="166"/>
    <x v="174"/>
    <x v="18"/>
    <s v="Outlet"/>
  </r>
  <r>
    <x v="2"/>
    <n v="1003"/>
    <x v="72"/>
    <x v="1"/>
    <s v="North Carolina"/>
    <s v="Charlotte"/>
    <x v="0"/>
    <x v="34"/>
    <x v="117"/>
    <x v="167"/>
    <x v="175"/>
    <x v="9"/>
    <s v="Online"/>
  </r>
  <r>
    <x v="0"/>
    <n v="1004"/>
    <x v="95"/>
    <x v="0"/>
    <s v="Utah"/>
    <s v="Salt Lake City"/>
    <x v="0"/>
    <x v="50"/>
    <x v="118"/>
    <x v="168"/>
    <x v="176"/>
    <x v="4"/>
    <s v="Outlet"/>
  </r>
  <r>
    <x v="2"/>
    <n v="1003"/>
    <x v="65"/>
    <x v="1"/>
    <s v="Georgia"/>
    <s v="Atlanta"/>
    <x v="5"/>
    <x v="13"/>
    <x v="40"/>
    <x v="169"/>
    <x v="177"/>
    <x v="0"/>
    <s v="Outlet"/>
  </r>
  <r>
    <x v="5"/>
    <n v="1005"/>
    <x v="149"/>
    <x v="3"/>
    <s v="Montana"/>
    <s v="Billings"/>
    <x v="5"/>
    <x v="28"/>
    <x v="49"/>
    <x v="170"/>
    <x v="178"/>
    <x v="45"/>
    <s v="Online"/>
  </r>
  <r>
    <x v="3"/>
    <n v="1001"/>
    <x v="150"/>
    <x v="3"/>
    <s v="Nebraska"/>
    <s v="Omaha"/>
    <x v="4"/>
    <x v="2"/>
    <x v="87"/>
    <x v="171"/>
    <x v="179"/>
    <x v="26"/>
    <s v="Online"/>
  </r>
  <r>
    <x v="3"/>
    <n v="1001"/>
    <x v="111"/>
    <x v="0"/>
    <s v="Hawaii"/>
    <s v="Honolulu"/>
    <x v="5"/>
    <x v="51"/>
    <x v="119"/>
    <x v="172"/>
    <x v="180"/>
    <x v="30"/>
    <s v="Online"/>
  </r>
  <r>
    <x v="2"/>
    <n v="1003"/>
    <x v="151"/>
    <x v="4"/>
    <s v="Tennessee"/>
    <s v="Knoxville"/>
    <x v="4"/>
    <x v="39"/>
    <x v="40"/>
    <x v="173"/>
    <x v="181"/>
    <x v="5"/>
    <s v="Outlet"/>
  </r>
  <r>
    <x v="3"/>
    <n v="1001"/>
    <x v="22"/>
    <x v="3"/>
    <s v="Missouri"/>
    <s v="St. Louis"/>
    <x v="1"/>
    <x v="33"/>
    <x v="54"/>
    <x v="64"/>
    <x v="182"/>
    <x v="12"/>
    <s v="Online"/>
  </r>
  <r>
    <x v="4"/>
    <n v="1002"/>
    <x v="81"/>
    <x v="1"/>
    <s v="Florida"/>
    <s v="Orlando"/>
    <x v="0"/>
    <x v="25"/>
    <x v="66"/>
    <x v="174"/>
    <x v="183"/>
    <x v="3"/>
    <s v="In-store"/>
  </r>
  <r>
    <x v="2"/>
    <n v="1003"/>
    <x v="80"/>
    <x v="3"/>
    <s v="Michigan"/>
    <s v="Detroit"/>
    <x v="4"/>
    <x v="4"/>
    <x v="30"/>
    <x v="150"/>
    <x v="184"/>
    <x v="1"/>
    <s v="In-store"/>
  </r>
  <r>
    <x v="4"/>
    <n v="1002"/>
    <x v="152"/>
    <x v="4"/>
    <s v="Arkansas"/>
    <s v="Little Rock"/>
    <x v="5"/>
    <x v="10"/>
    <x v="100"/>
    <x v="175"/>
    <x v="185"/>
    <x v="17"/>
    <s v="Outlet"/>
  </r>
  <r>
    <x v="5"/>
    <n v="1005"/>
    <x v="153"/>
    <x v="0"/>
    <s v="California"/>
    <s v="Los Angeles"/>
    <x v="5"/>
    <x v="17"/>
    <x v="52"/>
    <x v="176"/>
    <x v="77"/>
    <x v="1"/>
    <s v="Outlet"/>
  </r>
  <r>
    <x v="2"/>
    <n v="1003"/>
    <x v="154"/>
    <x v="4"/>
    <s v="Texas"/>
    <s v="Dallas"/>
    <x v="4"/>
    <x v="3"/>
    <x v="66"/>
    <x v="177"/>
    <x v="186"/>
    <x v="13"/>
    <s v="Outlet"/>
  </r>
  <r>
    <x v="0"/>
    <n v="1004"/>
    <x v="155"/>
    <x v="0"/>
    <s v="Nevada"/>
    <s v="Las Vegas"/>
    <x v="1"/>
    <x v="52"/>
    <x v="111"/>
    <x v="178"/>
    <x v="187"/>
    <x v="26"/>
    <s v="Outlet"/>
  </r>
  <r>
    <x v="2"/>
    <n v="1003"/>
    <x v="156"/>
    <x v="4"/>
    <s v="Tennessee"/>
    <s v="Knoxville"/>
    <x v="3"/>
    <x v="49"/>
    <x v="120"/>
    <x v="179"/>
    <x v="188"/>
    <x v="9"/>
    <s v="Online"/>
  </r>
  <r>
    <x v="2"/>
    <n v="1003"/>
    <x v="9"/>
    <x v="4"/>
    <s v="Tennessee"/>
    <s v="Knoxville"/>
    <x v="3"/>
    <x v="1"/>
    <x v="83"/>
    <x v="180"/>
    <x v="189"/>
    <x v="1"/>
    <s v="Outlet"/>
  </r>
  <r>
    <x v="0"/>
    <n v="1004"/>
    <x v="157"/>
    <x v="0"/>
    <s v="Oregon"/>
    <s v="Portland"/>
    <x v="2"/>
    <x v="7"/>
    <x v="121"/>
    <x v="181"/>
    <x v="190"/>
    <x v="29"/>
    <s v="Outlet"/>
  </r>
  <r>
    <x v="2"/>
    <n v="1003"/>
    <x v="158"/>
    <x v="3"/>
    <s v="South Dakota"/>
    <s v="Sioux Falls"/>
    <x v="3"/>
    <x v="17"/>
    <x v="51"/>
    <x v="30"/>
    <x v="191"/>
    <x v="3"/>
    <s v="Online"/>
  </r>
  <r>
    <x v="3"/>
    <n v="1001"/>
    <x v="159"/>
    <x v="0"/>
    <s v="Arizona"/>
    <s v="Phoenix"/>
    <x v="3"/>
    <x v="17"/>
    <x v="18"/>
    <x v="18"/>
    <x v="18"/>
    <x v="1"/>
    <s v="Online"/>
  </r>
  <r>
    <x v="4"/>
    <n v="1002"/>
    <x v="12"/>
    <x v="1"/>
    <s v="Florida"/>
    <s v="Orlando"/>
    <x v="5"/>
    <x v="3"/>
    <x v="51"/>
    <x v="182"/>
    <x v="170"/>
    <x v="3"/>
    <s v="In-store"/>
  </r>
  <r>
    <x v="2"/>
    <n v="1003"/>
    <x v="160"/>
    <x v="4"/>
    <s v="Texas"/>
    <s v="Dallas"/>
    <x v="1"/>
    <x v="43"/>
    <x v="44"/>
    <x v="183"/>
    <x v="192"/>
    <x v="13"/>
    <s v="Outlet"/>
  </r>
  <r>
    <x v="1"/>
    <n v="1006"/>
    <x v="3"/>
    <x v="2"/>
    <s v="Vermont"/>
    <s v="Burlington"/>
    <x v="0"/>
    <x v="3"/>
    <x v="34"/>
    <x v="60"/>
    <x v="193"/>
    <x v="13"/>
    <s v="In-store"/>
  </r>
  <r>
    <x v="0"/>
    <n v="1004"/>
    <x v="161"/>
    <x v="0"/>
    <s v="California"/>
    <s v="San Francisco"/>
    <x v="1"/>
    <x v="23"/>
    <x v="112"/>
    <x v="184"/>
    <x v="194"/>
    <x v="47"/>
    <s v="Online"/>
  </r>
  <r>
    <x v="5"/>
    <n v="1005"/>
    <x v="91"/>
    <x v="2"/>
    <s v="New Jersey"/>
    <s v="Newark"/>
    <x v="4"/>
    <x v="17"/>
    <x v="4"/>
    <x v="185"/>
    <x v="195"/>
    <x v="3"/>
    <s v="In-store"/>
  </r>
  <r>
    <x v="3"/>
    <n v="1001"/>
    <x v="162"/>
    <x v="3"/>
    <s v="North Dakota"/>
    <s v="Fargo"/>
    <x v="2"/>
    <x v="3"/>
    <x v="19"/>
    <x v="186"/>
    <x v="196"/>
    <x v="9"/>
    <s v="Online"/>
  </r>
  <r>
    <x v="5"/>
    <n v="1005"/>
    <x v="163"/>
    <x v="0"/>
    <s v="California"/>
    <s v="Los Angeles"/>
    <x v="1"/>
    <x v="18"/>
    <x v="32"/>
    <x v="187"/>
    <x v="197"/>
    <x v="24"/>
    <s v="Online"/>
  </r>
  <r>
    <x v="3"/>
    <n v="1001"/>
    <x v="164"/>
    <x v="3"/>
    <s v="Iowa"/>
    <s v="Des Moines"/>
    <x v="4"/>
    <x v="1"/>
    <x v="40"/>
    <x v="48"/>
    <x v="198"/>
    <x v="12"/>
    <s v="In-store"/>
  </r>
  <r>
    <x v="0"/>
    <n v="1004"/>
    <x v="165"/>
    <x v="0"/>
    <s v="Idaho"/>
    <s v="Boise"/>
    <x v="2"/>
    <x v="53"/>
    <x v="79"/>
    <x v="188"/>
    <x v="199"/>
    <x v="24"/>
    <s v="Outlet"/>
  </r>
  <r>
    <x v="3"/>
    <n v="1001"/>
    <x v="166"/>
    <x v="0"/>
    <s v="Arizona"/>
    <s v="Phoenix"/>
    <x v="2"/>
    <x v="29"/>
    <x v="122"/>
    <x v="189"/>
    <x v="200"/>
    <x v="1"/>
    <s v="Online"/>
  </r>
  <r>
    <x v="0"/>
    <n v="1004"/>
    <x v="167"/>
    <x v="1"/>
    <s v="Florida"/>
    <s v="Miami"/>
    <x v="0"/>
    <x v="1"/>
    <x v="83"/>
    <x v="180"/>
    <x v="108"/>
    <x v="3"/>
    <s v="In-store"/>
  </r>
  <r>
    <x v="3"/>
    <n v="1001"/>
    <x v="168"/>
    <x v="3"/>
    <s v="Illinois"/>
    <s v="Chicago"/>
    <x v="0"/>
    <x v="2"/>
    <x v="123"/>
    <x v="190"/>
    <x v="201"/>
    <x v="24"/>
    <s v="Online"/>
  </r>
  <r>
    <x v="3"/>
    <n v="1001"/>
    <x v="115"/>
    <x v="2"/>
    <s v="West Virginia"/>
    <s v="Charleston"/>
    <x v="2"/>
    <x v="45"/>
    <x v="81"/>
    <x v="117"/>
    <x v="202"/>
    <x v="1"/>
    <s v="In-store"/>
  </r>
  <r>
    <x v="0"/>
    <n v="1004"/>
    <x v="169"/>
    <x v="0"/>
    <s v="Nevada"/>
    <s v="Las Vegas"/>
    <x v="2"/>
    <x v="46"/>
    <x v="124"/>
    <x v="191"/>
    <x v="203"/>
    <x v="48"/>
    <s v="Outlet"/>
  </r>
  <r>
    <x v="0"/>
    <n v="1004"/>
    <x v="32"/>
    <x v="0"/>
    <s v="Oregon"/>
    <s v="Portland"/>
    <x v="0"/>
    <x v="54"/>
    <x v="68"/>
    <x v="192"/>
    <x v="204"/>
    <x v="12"/>
    <s v="Online"/>
  </r>
  <r>
    <x v="2"/>
    <n v="1003"/>
    <x v="170"/>
    <x v="2"/>
    <s v="Rhode Island"/>
    <s v="Providence"/>
    <x v="4"/>
    <x v="3"/>
    <x v="39"/>
    <x v="193"/>
    <x v="66"/>
    <x v="3"/>
    <s v="In-store"/>
  </r>
  <r>
    <x v="2"/>
    <n v="1003"/>
    <x v="151"/>
    <x v="1"/>
    <s v="Georgia"/>
    <s v="Atlanta"/>
    <x v="2"/>
    <x v="45"/>
    <x v="82"/>
    <x v="194"/>
    <x v="205"/>
    <x v="25"/>
    <s v="Online"/>
  </r>
  <r>
    <x v="3"/>
    <n v="1001"/>
    <x v="9"/>
    <x v="1"/>
    <s v="Virginia"/>
    <s v="Richmond"/>
    <x v="1"/>
    <x v="39"/>
    <x v="125"/>
    <x v="195"/>
    <x v="206"/>
    <x v="28"/>
    <s v="Outlet"/>
  </r>
  <r>
    <x v="0"/>
    <n v="1004"/>
    <x v="171"/>
    <x v="0"/>
    <s v="Utah"/>
    <s v="Salt Lake City"/>
    <x v="5"/>
    <x v="30"/>
    <x v="89"/>
    <x v="196"/>
    <x v="207"/>
    <x v="4"/>
    <s v="Online"/>
  </r>
  <r>
    <x v="3"/>
    <n v="1001"/>
    <x v="62"/>
    <x v="2"/>
    <s v="West Virginia"/>
    <s v="Charleston"/>
    <x v="3"/>
    <x v="22"/>
    <x v="32"/>
    <x v="41"/>
    <x v="208"/>
    <x v="13"/>
    <s v="In-store"/>
  </r>
  <r>
    <x v="2"/>
    <n v="1003"/>
    <x v="158"/>
    <x v="3"/>
    <s v="South Dakota"/>
    <s v="Sioux Falls"/>
    <x v="2"/>
    <x v="29"/>
    <x v="51"/>
    <x v="60"/>
    <x v="108"/>
    <x v="1"/>
    <s v="Online"/>
  </r>
  <r>
    <x v="5"/>
    <n v="1005"/>
    <x v="172"/>
    <x v="3"/>
    <s v="Montana"/>
    <s v="Billings"/>
    <x v="3"/>
    <x v="13"/>
    <x v="23"/>
    <x v="197"/>
    <x v="209"/>
    <x v="11"/>
    <s v="Online"/>
  </r>
  <r>
    <x v="4"/>
    <n v="1002"/>
    <x v="22"/>
    <x v="4"/>
    <s v="Arkansas"/>
    <s v="Little Rock"/>
    <x v="4"/>
    <x v="53"/>
    <x v="34"/>
    <x v="198"/>
    <x v="210"/>
    <x v="13"/>
    <s v="Online"/>
  </r>
  <r>
    <x v="0"/>
    <n v="1004"/>
    <x v="173"/>
    <x v="0"/>
    <s v="Idaho"/>
    <s v="Boise"/>
    <x v="5"/>
    <x v="17"/>
    <x v="126"/>
    <x v="199"/>
    <x v="211"/>
    <x v="1"/>
    <s v="Online"/>
  </r>
  <r>
    <x v="3"/>
    <n v="1001"/>
    <x v="174"/>
    <x v="2"/>
    <s v="Pennsylvania"/>
    <s v="Philadelphia"/>
    <x v="1"/>
    <x v="45"/>
    <x v="30"/>
    <x v="132"/>
    <x v="212"/>
    <x v="8"/>
    <s v="Outlet"/>
  </r>
  <r>
    <x v="0"/>
    <n v="1004"/>
    <x v="175"/>
    <x v="0"/>
    <s v="Colorado"/>
    <s v="Denver"/>
    <x v="0"/>
    <x v="29"/>
    <x v="7"/>
    <x v="180"/>
    <x v="213"/>
    <x v="13"/>
    <s v="In-store"/>
  </r>
  <r>
    <x v="5"/>
    <n v="1005"/>
    <x v="140"/>
    <x v="2"/>
    <s v="New Jersey"/>
    <s v="Newark"/>
    <x v="4"/>
    <x v="4"/>
    <x v="127"/>
    <x v="173"/>
    <x v="214"/>
    <x v="3"/>
    <s v="In-store"/>
  </r>
  <r>
    <x v="3"/>
    <n v="1001"/>
    <x v="77"/>
    <x v="2"/>
    <s v="Delaware"/>
    <s v="Wilmington"/>
    <x v="4"/>
    <x v="17"/>
    <x v="12"/>
    <x v="200"/>
    <x v="215"/>
    <x v="0"/>
    <s v="Online"/>
  </r>
  <r>
    <x v="0"/>
    <n v="1004"/>
    <x v="95"/>
    <x v="0"/>
    <s v="Utah"/>
    <s v="Salt Lake City"/>
    <x v="0"/>
    <x v="55"/>
    <x v="36"/>
    <x v="201"/>
    <x v="216"/>
    <x v="9"/>
    <s v="Online"/>
  </r>
  <r>
    <x v="2"/>
    <n v="1003"/>
    <x v="176"/>
    <x v="1"/>
    <s v="North Carolina"/>
    <s v="Charlotte"/>
    <x v="1"/>
    <x v="45"/>
    <x v="128"/>
    <x v="202"/>
    <x v="217"/>
    <x v="1"/>
    <s v="Online"/>
  </r>
  <r>
    <x v="2"/>
    <n v="1003"/>
    <x v="177"/>
    <x v="4"/>
    <s v="Tennessee"/>
    <s v="Knoxville"/>
    <x v="4"/>
    <x v="41"/>
    <x v="55"/>
    <x v="203"/>
    <x v="218"/>
    <x v="26"/>
    <s v="Online"/>
  </r>
  <r>
    <x v="1"/>
    <n v="1006"/>
    <x v="45"/>
    <x v="2"/>
    <s v="Vermont"/>
    <s v="Burlington"/>
    <x v="3"/>
    <x v="17"/>
    <x v="129"/>
    <x v="204"/>
    <x v="219"/>
    <x v="49"/>
    <s v="Online"/>
  </r>
  <r>
    <x v="2"/>
    <n v="1003"/>
    <x v="178"/>
    <x v="1"/>
    <s v="Georgia"/>
    <s v="Atlanta"/>
    <x v="0"/>
    <x v="7"/>
    <x v="7"/>
    <x v="7"/>
    <x v="7"/>
    <x v="1"/>
    <s v="Online"/>
  </r>
  <r>
    <x v="0"/>
    <n v="1004"/>
    <x v="179"/>
    <x v="4"/>
    <s v="Oklahoma"/>
    <s v="Oklahoma City"/>
    <x v="3"/>
    <x v="6"/>
    <x v="36"/>
    <x v="205"/>
    <x v="220"/>
    <x v="26"/>
    <s v="Online"/>
  </r>
  <r>
    <x v="3"/>
    <n v="1001"/>
    <x v="25"/>
    <x v="2"/>
    <s v="Rhode Island"/>
    <s v="Providence"/>
    <x v="1"/>
    <x v="11"/>
    <x v="122"/>
    <x v="206"/>
    <x v="221"/>
    <x v="12"/>
    <s v="Online"/>
  </r>
  <r>
    <x v="3"/>
    <n v="1001"/>
    <x v="158"/>
    <x v="2"/>
    <s v="Pennsylvania"/>
    <s v="Philadelphia"/>
    <x v="5"/>
    <x v="14"/>
    <x v="130"/>
    <x v="207"/>
    <x v="222"/>
    <x v="26"/>
    <s v="Online"/>
  </r>
  <r>
    <x v="5"/>
    <n v="1005"/>
    <x v="69"/>
    <x v="4"/>
    <s v="Oklahoma"/>
    <s v="Oklahoma City"/>
    <x v="0"/>
    <x v="23"/>
    <x v="33"/>
    <x v="186"/>
    <x v="223"/>
    <x v="24"/>
    <s v="Online"/>
  </r>
  <r>
    <x v="3"/>
    <n v="1001"/>
    <x v="84"/>
    <x v="3"/>
    <s v="Iowa"/>
    <s v="Des Moines"/>
    <x v="0"/>
    <x v="22"/>
    <x v="96"/>
    <x v="125"/>
    <x v="134"/>
    <x v="3"/>
    <s v="In-store"/>
  </r>
  <r>
    <x v="0"/>
    <n v="1004"/>
    <x v="169"/>
    <x v="0"/>
    <s v="Nevada"/>
    <s v="Las Vegas"/>
    <x v="2"/>
    <x v="56"/>
    <x v="18"/>
    <x v="208"/>
    <x v="224"/>
    <x v="39"/>
    <s v="In-store"/>
  </r>
  <r>
    <x v="0"/>
    <n v="1004"/>
    <x v="93"/>
    <x v="4"/>
    <s v="Louisiana"/>
    <s v="New Orleans"/>
    <x v="0"/>
    <x v="6"/>
    <x v="131"/>
    <x v="209"/>
    <x v="225"/>
    <x v="21"/>
    <s v="Outlet"/>
  </r>
  <r>
    <x v="0"/>
    <n v="1004"/>
    <x v="66"/>
    <x v="0"/>
    <s v="California"/>
    <s v="San Francisco"/>
    <x v="4"/>
    <x v="19"/>
    <x v="39"/>
    <x v="210"/>
    <x v="226"/>
    <x v="50"/>
    <s v="Online"/>
  </r>
  <r>
    <x v="1"/>
    <n v="1006"/>
    <x v="3"/>
    <x v="2"/>
    <s v="Vermont"/>
    <s v="Burlington"/>
    <x v="0"/>
    <x v="46"/>
    <x v="101"/>
    <x v="211"/>
    <x v="227"/>
    <x v="26"/>
    <s v="Online"/>
  </r>
  <r>
    <x v="1"/>
    <n v="1006"/>
    <x v="180"/>
    <x v="2"/>
    <s v="New Hampshire"/>
    <s v="Manchester"/>
    <x v="2"/>
    <x v="6"/>
    <x v="131"/>
    <x v="209"/>
    <x v="228"/>
    <x v="41"/>
    <s v="Outlet"/>
  </r>
  <r>
    <x v="0"/>
    <n v="1004"/>
    <x v="82"/>
    <x v="3"/>
    <s v="Missouri"/>
    <s v="St. Louis"/>
    <x v="5"/>
    <x v="30"/>
    <x v="106"/>
    <x v="212"/>
    <x v="229"/>
    <x v="2"/>
    <s v="Online"/>
  </r>
  <r>
    <x v="3"/>
    <n v="1001"/>
    <x v="22"/>
    <x v="3"/>
    <s v="Missouri"/>
    <s v="St. Louis"/>
    <x v="5"/>
    <x v="30"/>
    <x v="33"/>
    <x v="213"/>
    <x v="230"/>
    <x v="19"/>
    <s v="Online"/>
  </r>
  <r>
    <x v="4"/>
    <n v="1002"/>
    <x v="181"/>
    <x v="4"/>
    <s v="Mississippi"/>
    <s v="Jackson"/>
    <x v="4"/>
    <x v="53"/>
    <x v="42"/>
    <x v="33"/>
    <x v="231"/>
    <x v="0"/>
    <s v="Outlet"/>
  </r>
  <r>
    <x v="0"/>
    <n v="1004"/>
    <x v="182"/>
    <x v="0"/>
    <s v="Nevada"/>
    <s v="Las Vegas"/>
    <x v="5"/>
    <x v="3"/>
    <x v="53"/>
    <x v="214"/>
    <x v="232"/>
    <x v="13"/>
    <s v="In-store"/>
  </r>
  <r>
    <x v="3"/>
    <n v="1001"/>
    <x v="78"/>
    <x v="3"/>
    <s v="Missouri"/>
    <s v="St. Louis"/>
    <x v="0"/>
    <x v="53"/>
    <x v="34"/>
    <x v="198"/>
    <x v="233"/>
    <x v="1"/>
    <s v="In-store"/>
  </r>
  <r>
    <x v="3"/>
    <n v="1001"/>
    <x v="55"/>
    <x v="1"/>
    <s v="Virginia"/>
    <s v="Richmond"/>
    <x v="4"/>
    <x v="12"/>
    <x v="132"/>
    <x v="215"/>
    <x v="234"/>
    <x v="9"/>
    <s v="Online"/>
  </r>
  <r>
    <x v="3"/>
    <n v="1001"/>
    <x v="30"/>
    <x v="3"/>
    <s v="Illinois"/>
    <s v="Chicago"/>
    <x v="2"/>
    <x v="17"/>
    <x v="122"/>
    <x v="216"/>
    <x v="235"/>
    <x v="40"/>
    <s v="Online"/>
  </r>
  <r>
    <x v="1"/>
    <n v="1006"/>
    <x v="88"/>
    <x v="3"/>
    <s v="Ohio"/>
    <s v="Columbus"/>
    <x v="5"/>
    <x v="10"/>
    <x v="132"/>
    <x v="217"/>
    <x v="236"/>
    <x v="24"/>
    <s v="Online"/>
  </r>
  <r>
    <x v="2"/>
    <n v="1003"/>
    <x v="183"/>
    <x v="4"/>
    <s v="Texas"/>
    <s v="Dallas"/>
    <x v="1"/>
    <x v="57"/>
    <x v="133"/>
    <x v="218"/>
    <x v="237"/>
    <x v="12"/>
    <s v="Online"/>
  </r>
  <r>
    <x v="4"/>
    <n v="1002"/>
    <x v="184"/>
    <x v="4"/>
    <s v="Arkansas"/>
    <s v="Little Rock"/>
    <x v="0"/>
    <x v="57"/>
    <x v="31"/>
    <x v="219"/>
    <x v="238"/>
    <x v="44"/>
    <s v="Online"/>
  </r>
  <r>
    <x v="3"/>
    <n v="1001"/>
    <x v="76"/>
    <x v="1"/>
    <s v="South Carolina"/>
    <s v="Charleston"/>
    <x v="2"/>
    <x v="29"/>
    <x v="4"/>
    <x v="123"/>
    <x v="189"/>
    <x v="14"/>
    <s v="Online"/>
  </r>
  <r>
    <x v="3"/>
    <n v="1001"/>
    <x v="185"/>
    <x v="2"/>
    <s v="Rhode Island"/>
    <s v="Providence"/>
    <x v="0"/>
    <x v="1"/>
    <x v="40"/>
    <x v="48"/>
    <x v="239"/>
    <x v="1"/>
    <s v="In-store"/>
  </r>
  <r>
    <x v="3"/>
    <n v="1001"/>
    <x v="186"/>
    <x v="2"/>
    <s v="Maryland"/>
    <s v="Baltimore"/>
    <x v="4"/>
    <x v="35"/>
    <x v="78"/>
    <x v="220"/>
    <x v="240"/>
    <x v="11"/>
    <s v="Online"/>
  </r>
  <r>
    <x v="2"/>
    <n v="1003"/>
    <x v="24"/>
    <x v="0"/>
    <s v="New Mexico"/>
    <s v="Albuquerque"/>
    <x v="5"/>
    <x v="1"/>
    <x v="81"/>
    <x v="182"/>
    <x v="106"/>
    <x v="13"/>
    <s v="Online"/>
  </r>
  <r>
    <x v="3"/>
    <n v="1001"/>
    <x v="5"/>
    <x v="4"/>
    <s v="Louisiana"/>
    <s v="New Orleans"/>
    <x v="1"/>
    <x v="31"/>
    <x v="17"/>
    <x v="221"/>
    <x v="241"/>
    <x v="35"/>
    <s v="Outlet"/>
  </r>
  <r>
    <x v="0"/>
    <n v="1004"/>
    <x v="82"/>
    <x v="0"/>
    <s v="California"/>
    <s v="San Francisco"/>
    <x v="2"/>
    <x v="3"/>
    <x v="134"/>
    <x v="222"/>
    <x v="242"/>
    <x v="46"/>
    <s v="Outlet"/>
  </r>
  <r>
    <x v="0"/>
    <n v="1004"/>
    <x v="95"/>
    <x v="0"/>
    <s v="Utah"/>
    <s v="Salt Lake City"/>
    <x v="4"/>
    <x v="43"/>
    <x v="34"/>
    <x v="223"/>
    <x v="243"/>
    <x v="13"/>
    <s v="In-store"/>
  </r>
  <r>
    <x v="1"/>
    <n v="1006"/>
    <x v="187"/>
    <x v="2"/>
    <s v="Maine"/>
    <s v="Portland"/>
    <x v="4"/>
    <x v="7"/>
    <x v="40"/>
    <x v="42"/>
    <x v="244"/>
    <x v="25"/>
    <s v="Outlet"/>
  </r>
  <r>
    <x v="3"/>
    <n v="1001"/>
    <x v="188"/>
    <x v="4"/>
    <s v="Mississippi"/>
    <s v="Jackson"/>
    <x v="4"/>
    <x v="4"/>
    <x v="7"/>
    <x v="182"/>
    <x v="106"/>
    <x v="13"/>
    <s v="Online"/>
  </r>
  <r>
    <x v="5"/>
    <n v="1005"/>
    <x v="110"/>
    <x v="0"/>
    <s v="New Mexico"/>
    <s v="Albuquerque"/>
    <x v="5"/>
    <x v="46"/>
    <x v="60"/>
    <x v="224"/>
    <x v="245"/>
    <x v="2"/>
    <s v="Online"/>
  </r>
  <r>
    <x v="3"/>
    <n v="1001"/>
    <x v="189"/>
    <x v="2"/>
    <s v="Delaware"/>
    <s v="Wilmington"/>
    <x v="5"/>
    <x v="14"/>
    <x v="135"/>
    <x v="225"/>
    <x v="246"/>
    <x v="15"/>
    <s v="Online"/>
  </r>
  <r>
    <x v="4"/>
    <n v="1002"/>
    <x v="36"/>
    <x v="1"/>
    <s v="Florida"/>
    <s v="Orlando"/>
    <x v="1"/>
    <x v="16"/>
    <x v="136"/>
    <x v="226"/>
    <x v="247"/>
    <x v="30"/>
    <s v="Outlet"/>
  </r>
  <r>
    <x v="1"/>
    <n v="1006"/>
    <x v="78"/>
    <x v="2"/>
    <s v="New Hampshire"/>
    <s v="Manchester"/>
    <x v="2"/>
    <x v="12"/>
    <x v="132"/>
    <x v="215"/>
    <x v="248"/>
    <x v="2"/>
    <s v="Online"/>
  </r>
  <r>
    <x v="5"/>
    <n v="1005"/>
    <x v="190"/>
    <x v="3"/>
    <s v="Minnesota"/>
    <s v="Minneapolis"/>
    <x v="3"/>
    <x v="28"/>
    <x v="115"/>
    <x v="227"/>
    <x v="249"/>
    <x v="0"/>
    <s v="Online"/>
  </r>
  <r>
    <x v="4"/>
    <n v="1002"/>
    <x v="191"/>
    <x v="4"/>
    <s v="Texas"/>
    <s v="Houston"/>
    <x v="2"/>
    <x v="9"/>
    <x v="82"/>
    <x v="228"/>
    <x v="250"/>
    <x v="45"/>
    <s v="Outlet"/>
  </r>
  <r>
    <x v="3"/>
    <n v="1001"/>
    <x v="140"/>
    <x v="2"/>
    <s v="Rhode Island"/>
    <s v="Providence"/>
    <x v="4"/>
    <x v="4"/>
    <x v="130"/>
    <x v="229"/>
    <x v="251"/>
    <x v="3"/>
    <s v="In-store"/>
  </r>
  <r>
    <x v="3"/>
    <n v="1001"/>
    <x v="192"/>
    <x v="2"/>
    <s v="Pennsylvania"/>
    <s v="Philadelphia"/>
    <x v="0"/>
    <x v="2"/>
    <x v="137"/>
    <x v="230"/>
    <x v="252"/>
    <x v="26"/>
    <s v="Online"/>
  </r>
  <r>
    <x v="5"/>
    <n v="1005"/>
    <x v="193"/>
    <x v="3"/>
    <s v="Montana"/>
    <s v="Billings"/>
    <x v="1"/>
    <x v="33"/>
    <x v="23"/>
    <x v="231"/>
    <x v="253"/>
    <x v="8"/>
    <s v="Online"/>
  </r>
  <r>
    <x v="4"/>
    <n v="1002"/>
    <x v="194"/>
    <x v="4"/>
    <s v="Arkansas"/>
    <s v="Little Rock"/>
    <x v="0"/>
    <x v="22"/>
    <x v="73"/>
    <x v="232"/>
    <x v="254"/>
    <x v="27"/>
    <s v="Outlet"/>
  </r>
  <r>
    <x v="2"/>
    <n v="1003"/>
    <x v="195"/>
    <x v="2"/>
    <s v="Connecticut"/>
    <s v="Hartford"/>
    <x v="2"/>
    <x v="7"/>
    <x v="138"/>
    <x v="233"/>
    <x v="255"/>
    <x v="19"/>
    <s v="Online"/>
  </r>
  <r>
    <x v="0"/>
    <n v="1004"/>
    <x v="117"/>
    <x v="2"/>
    <s v="New York"/>
    <s v="Albany"/>
    <x v="5"/>
    <x v="17"/>
    <x v="1"/>
    <x v="132"/>
    <x v="256"/>
    <x v="25"/>
    <s v="In-store"/>
  </r>
  <r>
    <x v="5"/>
    <n v="1005"/>
    <x v="110"/>
    <x v="0"/>
    <s v="New Mexico"/>
    <s v="Albuquerque"/>
    <x v="0"/>
    <x v="28"/>
    <x v="139"/>
    <x v="234"/>
    <x v="257"/>
    <x v="11"/>
    <s v="Outlet"/>
  </r>
  <r>
    <x v="3"/>
    <n v="1001"/>
    <x v="159"/>
    <x v="0"/>
    <s v="Arizona"/>
    <s v="Phoenix"/>
    <x v="5"/>
    <x v="52"/>
    <x v="118"/>
    <x v="235"/>
    <x v="258"/>
    <x v="41"/>
    <s v="Outlet"/>
  </r>
  <r>
    <x v="3"/>
    <n v="1001"/>
    <x v="196"/>
    <x v="4"/>
    <s v="Mississippi"/>
    <s v="Jackson"/>
    <x v="0"/>
    <x v="28"/>
    <x v="25"/>
    <x v="236"/>
    <x v="259"/>
    <x v="12"/>
    <s v="Online"/>
  </r>
  <r>
    <x v="0"/>
    <n v="1004"/>
    <x v="197"/>
    <x v="0"/>
    <s v="Colorado"/>
    <s v="Denver"/>
    <x v="0"/>
    <x v="11"/>
    <x v="129"/>
    <x v="237"/>
    <x v="260"/>
    <x v="4"/>
    <s v="Online"/>
  </r>
  <r>
    <x v="3"/>
    <n v="1001"/>
    <x v="198"/>
    <x v="0"/>
    <s v="Arizona"/>
    <s v="Phoenix"/>
    <x v="4"/>
    <x v="7"/>
    <x v="17"/>
    <x v="17"/>
    <x v="261"/>
    <x v="3"/>
    <s v="Online"/>
  </r>
  <r>
    <x v="5"/>
    <n v="1005"/>
    <x v="199"/>
    <x v="0"/>
    <s v="California"/>
    <s v="San Francisco"/>
    <x v="3"/>
    <x v="4"/>
    <x v="44"/>
    <x v="117"/>
    <x v="125"/>
    <x v="25"/>
    <s v="Outlet"/>
  </r>
  <r>
    <x v="2"/>
    <n v="1003"/>
    <x v="200"/>
    <x v="1"/>
    <s v="Georgia"/>
    <s v="Atlanta"/>
    <x v="0"/>
    <x v="33"/>
    <x v="140"/>
    <x v="238"/>
    <x v="262"/>
    <x v="17"/>
    <s v="Outlet"/>
  </r>
  <r>
    <x v="5"/>
    <n v="1005"/>
    <x v="148"/>
    <x v="0"/>
    <s v="New Mexico"/>
    <s v="Albuquerque"/>
    <x v="1"/>
    <x v="20"/>
    <x v="107"/>
    <x v="239"/>
    <x v="263"/>
    <x v="19"/>
    <s v="Online"/>
  </r>
  <r>
    <x v="1"/>
    <n v="1006"/>
    <x v="50"/>
    <x v="2"/>
    <s v="New Hampshire"/>
    <s v="Manchester"/>
    <x v="5"/>
    <x v="28"/>
    <x v="139"/>
    <x v="234"/>
    <x v="264"/>
    <x v="30"/>
    <s v="Outlet"/>
  </r>
  <r>
    <x v="3"/>
    <n v="1001"/>
    <x v="201"/>
    <x v="3"/>
    <s v="Nebraska"/>
    <s v="Omaha"/>
    <x v="1"/>
    <x v="9"/>
    <x v="27"/>
    <x v="240"/>
    <x v="265"/>
    <x v="15"/>
    <s v="Online"/>
  </r>
  <r>
    <x v="3"/>
    <n v="1001"/>
    <x v="79"/>
    <x v="0"/>
    <s v="Hawaii"/>
    <s v="Honolulu"/>
    <x v="2"/>
    <x v="7"/>
    <x v="34"/>
    <x v="241"/>
    <x v="266"/>
    <x v="1"/>
    <s v="Outlet"/>
  </r>
  <r>
    <x v="0"/>
    <n v="1004"/>
    <x v="202"/>
    <x v="0"/>
    <s v="Oregon"/>
    <s v="Portland"/>
    <x v="3"/>
    <x v="52"/>
    <x v="79"/>
    <x v="242"/>
    <x v="267"/>
    <x v="21"/>
    <s v="Outlet"/>
  </r>
  <r>
    <x v="0"/>
    <n v="1004"/>
    <x v="72"/>
    <x v="0"/>
    <s v="Idaho"/>
    <s v="Boise"/>
    <x v="0"/>
    <x v="17"/>
    <x v="20"/>
    <x v="243"/>
    <x v="268"/>
    <x v="26"/>
    <s v="Online"/>
  </r>
  <r>
    <x v="2"/>
    <n v="1003"/>
    <x v="72"/>
    <x v="1"/>
    <s v="North Carolina"/>
    <s v="Charlotte"/>
    <x v="5"/>
    <x v="17"/>
    <x v="114"/>
    <x v="244"/>
    <x v="269"/>
    <x v="1"/>
    <s v="Online"/>
  </r>
  <r>
    <x v="1"/>
    <n v="1006"/>
    <x v="6"/>
    <x v="3"/>
    <s v="Ohio"/>
    <s v="Columbus"/>
    <x v="3"/>
    <x v="3"/>
    <x v="83"/>
    <x v="245"/>
    <x v="270"/>
    <x v="13"/>
    <s v="Online"/>
  </r>
  <r>
    <x v="3"/>
    <n v="1001"/>
    <x v="203"/>
    <x v="3"/>
    <s v="Kansas"/>
    <s v="Wichita"/>
    <x v="4"/>
    <x v="17"/>
    <x v="39"/>
    <x v="54"/>
    <x v="271"/>
    <x v="13"/>
    <s v="Online"/>
  </r>
  <r>
    <x v="4"/>
    <n v="1002"/>
    <x v="204"/>
    <x v="0"/>
    <s v="Hawaii"/>
    <s v="Honolulu"/>
    <x v="3"/>
    <x v="45"/>
    <x v="20"/>
    <x v="246"/>
    <x v="272"/>
    <x v="34"/>
    <s v="Outlet"/>
  </r>
  <r>
    <x v="4"/>
    <n v="1002"/>
    <x v="205"/>
    <x v="4"/>
    <s v="Texas"/>
    <s v="Houston"/>
    <x v="5"/>
    <x v="1"/>
    <x v="141"/>
    <x v="247"/>
    <x v="273"/>
    <x v="13"/>
    <s v="Outlet"/>
  </r>
  <r>
    <x v="3"/>
    <n v="1001"/>
    <x v="206"/>
    <x v="0"/>
    <s v="Arizona"/>
    <s v="Phoenix"/>
    <x v="3"/>
    <x v="17"/>
    <x v="142"/>
    <x v="248"/>
    <x v="274"/>
    <x v="9"/>
    <s v="Online"/>
  </r>
  <r>
    <x v="2"/>
    <n v="1003"/>
    <x v="133"/>
    <x v="4"/>
    <s v="Tennessee"/>
    <s v="Knoxville"/>
    <x v="5"/>
    <x v="7"/>
    <x v="48"/>
    <x v="165"/>
    <x v="275"/>
    <x v="26"/>
    <s v="Outlet"/>
  </r>
  <r>
    <x v="3"/>
    <n v="1001"/>
    <x v="207"/>
    <x v="0"/>
    <s v="Washington"/>
    <s v="Seattle"/>
    <x v="3"/>
    <x v="4"/>
    <x v="143"/>
    <x v="249"/>
    <x v="276"/>
    <x v="13"/>
    <s v="In-store"/>
  </r>
  <r>
    <x v="2"/>
    <n v="1003"/>
    <x v="163"/>
    <x v="2"/>
    <s v="Massachusetts"/>
    <s v="Boston"/>
    <x v="0"/>
    <x v="22"/>
    <x v="51"/>
    <x v="193"/>
    <x v="55"/>
    <x v="25"/>
    <s v="In-store"/>
  </r>
  <r>
    <x v="5"/>
    <n v="1005"/>
    <x v="208"/>
    <x v="0"/>
    <s v="Wyoming"/>
    <s v="Cheyenne"/>
    <x v="0"/>
    <x v="15"/>
    <x v="2"/>
    <x v="250"/>
    <x v="277"/>
    <x v="12"/>
    <s v="Online"/>
  </r>
  <r>
    <x v="5"/>
    <n v="1005"/>
    <x v="138"/>
    <x v="0"/>
    <s v="California"/>
    <s v="Los Angeles"/>
    <x v="0"/>
    <x v="4"/>
    <x v="20"/>
    <x v="20"/>
    <x v="20"/>
    <x v="13"/>
    <s v="Outlet"/>
  </r>
  <r>
    <x v="1"/>
    <n v="1006"/>
    <x v="209"/>
    <x v="0"/>
    <s v="Alaska"/>
    <s v="Anchorage"/>
    <x v="1"/>
    <x v="7"/>
    <x v="1"/>
    <x v="251"/>
    <x v="278"/>
    <x v="13"/>
    <s v="Outlet"/>
  </r>
  <r>
    <x v="3"/>
    <n v="1001"/>
    <x v="210"/>
    <x v="4"/>
    <s v="Tennessee"/>
    <s v="Knoxville"/>
    <x v="3"/>
    <x v="33"/>
    <x v="6"/>
    <x v="252"/>
    <x v="279"/>
    <x v="19"/>
    <s v="Online"/>
  </r>
  <r>
    <x v="3"/>
    <n v="1001"/>
    <x v="211"/>
    <x v="3"/>
    <s v="Minnesota"/>
    <s v="Minneapolis"/>
    <x v="4"/>
    <x v="34"/>
    <x v="144"/>
    <x v="253"/>
    <x v="280"/>
    <x v="0"/>
    <s v="Online"/>
  </r>
  <r>
    <x v="1"/>
    <n v="1006"/>
    <x v="0"/>
    <x v="1"/>
    <s v="North Carolina"/>
    <s v="Charlotte"/>
    <x v="3"/>
    <x v="6"/>
    <x v="106"/>
    <x v="254"/>
    <x v="281"/>
    <x v="12"/>
    <s v="Online"/>
  </r>
  <r>
    <x v="2"/>
    <n v="1003"/>
    <x v="24"/>
    <x v="0"/>
    <s v="New Mexico"/>
    <s v="Albuquerque"/>
    <x v="5"/>
    <x v="9"/>
    <x v="60"/>
    <x v="255"/>
    <x v="282"/>
    <x v="26"/>
    <s v="Online"/>
  </r>
  <r>
    <x v="3"/>
    <n v="1001"/>
    <x v="62"/>
    <x v="2"/>
    <s v="West Virginia"/>
    <s v="Charleston"/>
    <x v="2"/>
    <x v="22"/>
    <x v="32"/>
    <x v="41"/>
    <x v="41"/>
    <x v="3"/>
    <s v="In-store"/>
  </r>
  <r>
    <x v="2"/>
    <n v="1003"/>
    <x v="21"/>
    <x v="4"/>
    <s v="Texas"/>
    <s v="Dallas"/>
    <x v="0"/>
    <x v="41"/>
    <x v="145"/>
    <x v="256"/>
    <x v="203"/>
    <x v="26"/>
    <s v="Outlet"/>
  </r>
  <r>
    <x v="3"/>
    <n v="1001"/>
    <x v="111"/>
    <x v="0"/>
    <s v="Hawaii"/>
    <s v="Honolulu"/>
    <x v="3"/>
    <x v="58"/>
    <x v="102"/>
    <x v="257"/>
    <x v="283"/>
    <x v="7"/>
    <s v="Online"/>
  </r>
  <r>
    <x v="3"/>
    <n v="1001"/>
    <x v="8"/>
    <x v="1"/>
    <s v="Virginia"/>
    <s v="Richmond"/>
    <x v="3"/>
    <x v="17"/>
    <x v="83"/>
    <x v="258"/>
    <x v="284"/>
    <x v="13"/>
    <s v="In-store"/>
  </r>
  <r>
    <x v="3"/>
    <n v="1001"/>
    <x v="212"/>
    <x v="3"/>
    <s v="Iowa"/>
    <s v="Des Moines"/>
    <x v="2"/>
    <x v="26"/>
    <x v="14"/>
    <x v="259"/>
    <x v="285"/>
    <x v="44"/>
    <s v="Online"/>
  </r>
  <r>
    <x v="3"/>
    <n v="1001"/>
    <x v="110"/>
    <x v="3"/>
    <s v="Nebraska"/>
    <s v="Omaha"/>
    <x v="1"/>
    <x v="33"/>
    <x v="100"/>
    <x v="256"/>
    <x v="286"/>
    <x v="15"/>
    <s v="Online"/>
  </r>
  <r>
    <x v="2"/>
    <n v="1003"/>
    <x v="213"/>
    <x v="2"/>
    <s v="Connecticut"/>
    <s v="Hartford"/>
    <x v="5"/>
    <x v="27"/>
    <x v="118"/>
    <x v="260"/>
    <x v="287"/>
    <x v="29"/>
    <s v="Outlet"/>
  </r>
  <r>
    <x v="0"/>
    <n v="1004"/>
    <x v="64"/>
    <x v="4"/>
    <s v="Louisiana"/>
    <s v="New Orleans"/>
    <x v="2"/>
    <x v="59"/>
    <x v="146"/>
    <x v="261"/>
    <x v="288"/>
    <x v="13"/>
    <s v="Online"/>
  </r>
  <r>
    <x v="0"/>
    <n v="1004"/>
    <x v="214"/>
    <x v="0"/>
    <s v="Colorado"/>
    <s v="Denver"/>
    <x v="2"/>
    <x v="45"/>
    <x v="82"/>
    <x v="194"/>
    <x v="192"/>
    <x v="34"/>
    <s v="In-store"/>
  </r>
  <r>
    <x v="2"/>
    <n v="1003"/>
    <x v="80"/>
    <x v="4"/>
    <s v="Tennessee"/>
    <s v="Knoxville"/>
    <x v="2"/>
    <x v="49"/>
    <x v="124"/>
    <x v="262"/>
    <x v="289"/>
    <x v="24"/>
    <s v="Outlet"/>
  </r>
  <r>
    <x v="5"/>
    <n v="1005"/>
    <x v="173"/>
    <x v="2"/>
    <s v="New Jersey"/>
    <s v="Newark"/>
    <x v="5"/>
    <x v="1"/>
    <x v="51"/>
    <x v="263"/>
    <x v="290"/>
    <x v="1"/>
    <s v="In-store"/>
  </r>
  <r>
    <x v="5"/>
    <n v="1005"/>
    <x v="215"/>
    <x v="0"/>
    <s v="California"/>
    <s v="Los Angeles"/>
    <x v="1"/>
    <x v="34"/>
    <x v="32"/>
    <x v="264"/>
    <x v="32"/>
    <x v="9"/>
    <s v="Online"/>
  </r>
  <r>
    <x v="1"/>
    <n v="1006"/>
    <x v="216"/>
    <x v="2"/>
    <s v="Maine"/>
    <s v="Portland"/>
    <x v="0"/>
    <x v="4"/>
    <x v="39"/>
    <x v="41"/>
    <x v="41"/>
    <x v="3"/>
    <s v="Outlet"/>
  </r>
  <r>
    <x v="2"/>
    <n v="1003"/>
    <x v="189"/>
    <x v="2"/>
    <s v="Massachusetts"/>
    <s v="Boston"/>
    <x v="2"/>
    <x v="7"/>
    <x v="115"/>
    <x v="265"/>
    <x v="291"/>
    <x v="0"/>
    <s v="Online"/>
  </r>
  <r>
    <x v="3"/>
    <n v="1001"/>
    <x v="217"/>
    <x v="0"/>
    <s v="Idaho"/>
    <s v="Boise"/>
    <x v="3"/>
    <x v="1"/>
    <x v="30"/>
    <x v="30"/>
    <x v="292"/>
    <x v="1"/>
    <s v="Online"/>
  </r>
  <r>
    <x v="2"/>
    <n v="1003"/>
    <x v="183"/>
    <x v="4"/>
    <s v="Texas"/>
    <s v="Dallas"/>
    <x v="1"/>
    <x v="60"/>
    <x v="147"/>
    <x v="266"/>
    <x v="293"/>
    <x v="28"/>
    <s v="Outlet"/>
  </r>
  <r>
    <x v="3"/>
    <n v="1001"/>
    <x v="218"/>
    <x v="1"/>
    <s v="Virginia"/>
    <s v="Richmond"/>
    <x v="4"/>
    <x v="34"/>
    <x v="148"/>
    <x v="267"/>
    <x v="294"/>
    <x v="9"/>
    <s v="Online"/>
  </r>
  <r>
    <x v="2"/>
    <n v="1003"/>
    <x v="219"/>
    <x v="4"/>
    <s v="Texas"/>
    <s v="Houston"/>
    <x v="1"/>
    <x v="39"/>
    <x v="76"/>
    <x v="132"/>
    <x v="295"/>
    <x v="13"/>
    <s v="Outlet"/>
  </r>
  <r>
    <x v="2"/>
    <n v="1003"/>
    <x v="220"/>
    <x v="0"/>
    <s v="Idaho"/>
    <s v="Boise"/>
    <x v="2"/>
    <x v="48"/>
    <x v="149"/>
    <x v="268"/>
    <x v="296"/>
    <x v="51"/>
    <s v="Outlet"/>
  </r>
  <r>
    <x v="3"/>
    <n v="1001"/>
    <x v="196"/>
    <x v="3"/>
    <s v="Missouri"/>
    <s v="St. Louis"/>
    <x v="2"/>
    <x v="13"/>
    <x v="142"/>
    <x v="269"/>
    <x v="297"/>
    <x v="40"/>
    <s v="Online"/>
  </r>
  <r>
    <x v="1"/>
    <n v="1006"/>
    <x v="141"/>
    <x v="3"/>
    <s v="Ohio"/>
    <s v="Columbus"/>
    <x v="4"/>
    <x v="40"/>
    <x v="40"/>
    <x v="270"/>
    <x v="298"/>
    <x v="2"/>
    <s v="Online"/>
  </r>
  <r>
    <x v="0"/>
    <n v="1004"/>
    <x v="221"/>
    <x v="0"/>
    <s v="Colorado"/>
    <s v="Denver"/>
    <x v="5"/>
    <x v="12"/>
    <x v="40"/>
    <x v="271"/>
    <x v="299"/>
    <x v="14"/>
    <s v="Online"/>
  </r>
  <r>
    <x v="0"/>
    <n v="1004"/>
    <x v="222"/>
    <x v="4"/>
    <s v="Oklahoma"/>
    <s v="Oklahoma City"/>
    <x v="3"/>
    <x v="31"/>
    <x v="150"/>
    <x v="272"/>
    <x v="300"/>
    <x v="5"/>
    <s v="Outlet"/>
  </r>
  <r>
    <x v="5"/>
    <n v="1005"/>
    <x v="223"/>
    <x v="4"/>
    <s v="Oklahoma"/>
    <s v="Oklahoma City"/>
    <x v="5"/>
    <x v="61"/>
    <x v="51"/>
    <x v="173"/>
    <x v="301"/>
    <x v="13"/>
    <s v="Online"/>
  </r>
  <r>
    <x v="2"/>
    <n v="1003"/>
    <x v="213"/>
    <x v="2"/>
    <s v="Connecticut"/>
    <s v="Hartford"/>
    <x v="5"/>
    <x v="48"/>
    <x v="101"/>
    <x v="273"/>
    <x v="302"/>
    <x v="17"/>
    <s v="Online"/>
  </r>
  <r>
    <x v="3"/>
    <n v="1001"/>
    <x v="224"/>
    <x v="1"/>
    <s v="South Carolina"/>
    <s v="Charleston"/>
    <x v="4"/>
    <x v="29"/>
    <x v="151"/>
    <x v="274"/>
    <x v="49"/>
    <x v="13"/>
    <s v="Online"/>
  </r>
  <r>
    <x v="1"/>
    <n v="1006"/>
    <x v="225"/>
    <x v="3"/>
    <s v="Ohio"/>
    <s v="Columbus"/>
    <x v="3"/>
    <x v="1"/>
    <x v="17"/>
    <x v="107"/>
    <x v="115"/>
    <x v="13"/>
    <s v="Online"/>
  </r>
  <r>
    <x v="1"/>
    <n v="1006"/>
    <x v="226"/>
    <x v="2"/>
    <s v="Vermont"/>
    <s v="Burlington"/>
    <x v="2"/>
    <x v="29"/>
    <x v="18"/>
    <x v="258"/>
    <x v="303"/>
    <x v="1"/>
    <s v="In-store"/>
  </r>
  <r>
    <x v="2"/>
    <n v="1003"/>
    <x v="77"/>
    <x v="2"/>
    <s v="Massachusetts"/>
    <s v="Boston"/>
    <x v="0"/>
    <x v="33"/>
    <x v="16"/>
    <x v="275"/>
    <x v="304"/>
    <x v="3"/>
    <s v="Outlet"/>
  </r>
  <r>
    <x v="2"/>
    <n v="1003"/>
    <x v="227"/>
    <x v="2"/>
    <s v="Rhode Island"/>
    <s v="Providence"/>
    <x v="2"/>
    <x v="9"/>
    <x v="152"/>
    <x v="276"/>
    <x v="305"/>
    <x v="11"/>
    <s v="Online"/>
  </r>
  <r>
    <x v="3"/>
    <n v="1001"/>
    <x v="32"/>
    <x v="3"/>
    <s v="Illinois"/>
    <s v="Chicago"/>
    <x v="1"/>
    <x v="20"/>
    <x v="153"/>
    <x v="277"/>
    <x v="306"/>
    <x v="15"/>
    <s v="Online"/>
  </r>
  <r>
    <x v="5"/>
    <n v="1005"/>
    <x v="228"/>
    <x v="0"/>
    <s v="Wyoming"/>
    <s v="Cheyenne"/>
    <x v="4"/>
    <x v="34"/>
    <x v="154"/>
    <x v="278"/>
    <x v="307"/>
    <x v="17"/>
    <s v="Online"/>
  </r>
  <r>
    <x v="0"/>
    <n v="1004"/>
    <x v="36"/>
    <x v="4"/>
    <s v="Louisiana"/>
    <s v="New Orleans"/>
    <x v="5"/>
    <x v="23"/>
    <x v="42"/>
    <x v="279"/>
    <x v="308"/>
    <x v="9"/>
    <s v="Online"/>
  </r>
  <r>
    <x v="0"/>
    <n v="1004"/>
    <x v="157"/>
    <x v="0"/>
    <s v="Oregon"/>
    <s v="Portland"/>
    <x v="4"/>
    <x v="35"/>
    <x v="155"/>
    <x v="280"/>
    <x v="309"/>
    <x v="2"/>
    <s v="Outlet"/>
  </r>
  <r>
    <x v="2"/>
    <n v="1003"/>
    <x v="229"/>
    <x v="1"/>
    <s v="North Carolina"/>
    <s v="Charlotte"/>
    <x v="1"/>
    <x v="41"/>
    <x v="156"/>
    <x v="281"/>
    <x v="310"/>
    <x v="15"/>
    <s v="Online"/>
  </r>
  <r>
    <x v="0"/>
    <n v="1004"/>
    <x v="64"/>
    <x v="4"/>
    <s v="Louisiana"/>
    <s v="New Orleans"/>
    <x v="0"/>
    <x v="37"/>
    <x v="77"/>
    <x v="282"/>
    <x v="311"/>
    <x v="1"/>
    <s v="Online"/>
  </r>
  <r>
    <x v="0"/>
    <n v="1004"/>
    <x v="131"/>
    <x v="2"/>
    <s v="Maryland"/>
    <s v="Baltimore"/>
    <x v="0"/>
    <x v="39"/>
    <x v="157"/>
    <x v="283"/>
    <x v="312"/>
    <x v="13"/>
    <s v="In-store"/>
  </r>
  <r>
    <x v="3"/>
    <n v="1001"/>
    <x v="230"/>
    <x v="2"/>
    <s v="New York"/>
    <s v="New York"/>
    <x v="4"/>
    <x v="16"/>
    <x v="13"/>
    <x v="284"/>
    <x v="313"/>
    <x v="13"/>
    <s v="Outlet"/>
  </r>
  <r>
    <x v="0"/>
    <n v="1004"/>
    <x v="62"/>
    <x v="0"/>
    <s v="Utah"/>
    <s v="Salt Lake City"/>
    <x v="0"/>
    <x v="39"/>
    <x v="61"/>
    <x v="285"/>
    <x v="314"/>
    <x v="28"/>
    <s v="Outlet"/>
  </r>
  <r>
    <x v="2"/>
    <n v="1003"/>
    <x v="29"/>
    <x v="0"/>
    <s v="Idaho"/>
    <s v="Boise"/>
    <x v="4"/>
    <x v="33"/>
    <x v="88"/>
    <x v="286"/>
    <x v="315"/>
    <x v="10"/>
    <s v="Online"/>
  </r>
  <r>
    <x v="3"/>
    <n v="1001"/>
    <x v="77"/>
    <x v="3"/>
    <s v="South Dakota"/>
    <s v="Sioux Falls"/>
    <x v="5"/>
    <x v="28"/>
    <x v="108"/>
    <x v="287"/>
    <x v="316"/>
    <x v="0"/>
    <s v="Online"/>
  </r>
  <r>
    <x v="5"/>
    <n v="1005"/>
    <x v="116"/>
    <x v="0"/>
    <s v="California"/>
    <s v="Los Angeles"/>
    <x v="3"/>
    <x v="35"/>
    <x v="158"/>
    <x v="288"/>
    <x v="317"/>
    <x v="28"/>
    <s v="Online"/>
  </r>
  <r>
    <x v="3"/>
    <n v="1001"/>
    <x v="231"/>
    <x v="1"/>
    <s v="Virginia"/>
    <s v="Richmond"/>
    <x v="4"/>
    <x v="27"/>
    <x v="103"/>
    <x v="146"/>
    <x v="318"/>
    <x v="26"/>
    <s v="Outlet"/>
  </r>
  <r>
    <x v="3"/>
    <n v="1001"/>
    <x v="232"/>
    <x v="1"/>
    <s v="Georgia"/>
    <s v="Atlanta"/>
    <x v="0"/>
    <x v="21"/>
    <x v="115"/>
    <x v="289"/>
    <x v="319"/>
    <x v="12"/>
    <s v="Online"/>
  </r>
  <r>
    <x v="0"/>
    <n v="1004"/>
    <x v="3"/>
    <x v="0"/>
    <s v="Utah"/>
    <s v="Salt Lake City"/>
    <x v="4"/>
    <x v="9"/>
    <x v="27"/>
    <x v="240"/>
    <x v="320"/>
    <x v="12"/>
    <s v="Online"/>
  </r>
  <r>
    <x v="0"/>
    <n v="1004"/>
    <x v="64"/>
    <x v="4"/>
    <s v="Louisiana"/>
    <s v="New Orleans"/>
    <x v="2"/>
    <x v="25"/>
    <x v="90"/>
    <x v="290"/>
    <x v="321"/>
    <x v="11"/>
    <s v="Outlet"/>
  </r>
  <r>
    <x v="1"/>
    <n v="1006"/>
    <x v="85"/>
    <x v="3"/>
    <s v="Ohio"/>
    <s v="Columbus"/>
    <x v="3"/>
    <x v="53"/>
    <x v="18"/>
    <x v="185"/>
    <x v="322"/>
    <x v="13"/>
    <s v="Online"/>
  </r>
  <r>
    <x v="3"/>
    <n v="1001"/>
    <x v="77"/>
    <x v="2"/>
    <s v="Delaware"/>
    <s v="Wilmington"/>
    <x v="1"/>
    <x v="7"/>
    <x v="159"/>
    <x v="291"/>
    <x v="323"/>
    <x v="13"/>
    <s v="In-store"/>
  </r>
  <r>
    <x v="3"/>
    <n v="1001"/>
    <x v="233"/>
    <x v="2"/>
    <s v="New York"/>
    <s v="New York"/>
    <x v="1"/>
    <x v="3"/>
    <x v="160"/>
    <x v="292"/>
    <x v="324"/>
    <x v="12"/>
    <s v="Outlet"/>
  </r>
  <r>
    <x v="0"/>
    <n v="1004"/>
    <x v="234"/>
    <x v="0"/>
    <s v="Nevada"/>
    <s v="Las Vegas"/>
    <x v="4"/>
    <x v="34"/>
    <x v="145"/>
    <x v="293"/>
    <x v="325"/>
    <x v="52"/>
    <s v="Outlet"/>
  </r>
  <r>
    <x v="4"/>
    <n v="1002"/>
    <x v="235"/>
    <x v="4"/>
    <s v="Texas"/>
    <s v="Houston"/>
    <x v="3"/>
    <x v="48"/>
    <x v="161"/>
    <x v="294"/>
    <x v="326"/>
    <x v="10"/>
    <s v="Online"/>
  </r>
  <r>
    <x v="1"/>
    <n v="1006"/>
    <x v="122"/>
    <x v="1"/>
    <s v="Kentucky"/>
    <s v="Louisville"/>
    <x v="0"/>
    <x v="33"/>
    <x v="16"/>
    <x v="275"/>
    <x v="327"/>
    <x v="9"/>
    <s v="Online"/>
  </r>
  <r>
    <x v="5"/>
    <n v="1005"/>
    <x v="236"/>
    <x v="0"/>
    <s v="New Mexico"/>
    <s v="Albuquerque"/>
    <x v="0"/>
    <x v="22"/>
    <x v="27"/>
    <x v="295"/>
    <x v="328"/>
    <x v="0"/>
    <s v="Outlet"/>
  </r>
  <r>
    <x v="5"/>
    <n v="1005"/>
    <x v="17"/>
    <x v="0"/>
    <s v="California"/>
    <s v="Los Angeles"/>
    <x v="5"/>
    <x v="34"/>
    <x v="120"/>
    <x v="296"/>
    <x v="329"/>
    <x v="9"/>
    <s v="Online"/>
  </r>
  <r>
    <x v="3"/>
    <n v="1001"/>
    <x v="185"/>
    <x v="2"/>
    <s v="Rhode Island"/>
    <s v="Providence"/>
    <x v="2"/>
    <x v="23"/>
    <x v="105"/>
    <x v="67"/>
    <x v="330"/>
    <x v="15"/>
    <s v="Online"/>
  </r>
  <r>
    <x v="2"/>
    <n v="1003"/>
    <x v="72"/>
    <x v="1"/>
    <s v="North Carolina"/>
    <s v="Charlotte"/>
    <x v="4"/>
    <x v="62"/>
    <x v="5"/>
    <x v="297"/>
    <x v="331"/>
    <x v="19"/>
    <s v="Online"/>
  </r>
  <r>
    <x v="2"/>
    <n v="1003"/>
    <x v="153"/>
    <x v="3"/>
    <s v="North Dakota"/>
    <s v="Fargo"/>
    <x v="3"/>
    <x v="41"/>
    <x v="162"/>
    <x v="298"/>
    <x v="332"/>
    <x v="27"/>
    <s v="Online"/>
  </r>
  <r>
    <x v="2"/>
    <n v="1003"/>
    <x v="237"/>
    <x v="1"/>
    <s v="Georgia"/>
    <s v="Atlanta"/>
    <x v="3"/>
    <x v="17"/>
    <x v="48"/>
    <x v="96"/>
    <x v="58"/>
    <x v="1"/>
    <s v="Online"/>
  </r>
  <r>
    <x v="2"/>
    <n v="1003"/>
    <x v="218"/>
    <x v="4"/>
    <s v="Tennessee"/>
    <s v="Knoxville"/>
    <x v="0"/>
    <x v="13"/>
    <x v="97"/>
    <x v="299"/>
    <x v="333"/>
    <x v="53"/>
    <s v="Online"/>
  </r>
  <r>
    <x v="0"/>
    <n v="1004"/>
    <x v="194"/>
    <x v="4"/>
    <s v="Oklahoma"/>
    <s v="Oklahoma City"/>
    <x v="5"/>
    <x v="48"/>
    <x v="122"/>
    <x v="300"/>
    <x v="334"/>
    <x v="15"/>
    <s v="Online"/>
  </r>
  <r>
    <x v="1"/>
    <n v="1006"/>
    <x v="57"/>
    <x v="0"/>
    <s v="Alaska"/>
    <s v="Anchorage"/>
    <x v="0"/>
    <x v="21"/>
    <x v="33"/>
    <x v="301"/>
    <x v="335"/>
    <x v="28"/>
    <s v="Online"/>
  </r>
  <r>
    <x v="3"/>
    <n v="1001"/>
    <x v="238"/>
    <x v="4"/>
    <s v="Texas"/>
    <s v="Dallas"/>
    <x v="5"/>
    <x v="41"/>
    <x v="62"/>
    <x v="302"/>
    <x v="336"/>
    <x v="0"/>
    <s v="Outlet"/>
  </r>
  <r>
    <x v="0"/>
    <n v="1004"/>
    <x v="239"/>
    <x v="0"/>
    <s v="Colorado"/>
    <s v="Denver"/>
    <x v="2"/>
    <x v="25"/>
    <x v="66"/>
    <x v="174"/>
    <x v="183"/>
    <x v="3"/>
    <s v="In-store"/>
  </r>
  <r>
    <x v="0"/>
    <n v="1004"/>
    <x v="240"/>
    <x v="3"/>
    <s v="Iowa"/>
    <s v="Des Moines"/>
    <x v="1"/>
    <x v="4"/>
    <x v="7"/>
    <x v="182"/>
    <x v="170"/>
    <x v="3"/>
    <s v="In-store"/>
  </r>
  <r>
    <x v="3"/>
    <n v="1001"/>
    <x v="241"/>
    <x v="2"/>
    <s v="New York"/>
    <s v="New York"/>
    <x v="3"/>
    <x v="17"/>
    <x v="163"/>
    <x v="303"/>
    <x v="337"/>
    <x v="1"/>
    <s v="Online"/>
  </r>
  <r>
    <x v="4"/>
    <n v="1002"/>
    <x v="242"/>
    <x v="4"/>
    <s v="Texas"/>
    <s v="Houston"/>
    <x v="5"/>
    <x v="18"/>
    <x v="164"/>
    <x v="304"/>
    <x v="338"/>
    <x v="5"/>
    <s v="Outlet"/>
  </r>
  <r>
    <x v="3"/>
    <n v="1001"/>
    <x v="91"/>
    <x v="2"/>
    <s v="Rhode Island"/>
    <s v="Providence"/>
    <x v="0"/>
    <x v="38"/>
    <x v="152"/>
    <x v="305"/>
    <x v="339"/>
    <x v="4"/>
    <s v="Outlet"/>
  </r>
  <r>
    <x v="0"/>
    <n v="1004"/>
    <x v="243"/>
    <x v="2"/>
    <s v="West Virginia"/>
    <s v="Charleston"/>
    <x v="0"/>
    <x v="33"/>
    <x v="165"/>
    <x v="306"/>
    <x v="340"/>
    <x v="24"/>
    <s v="Online"/>
  </r>
  <r>
    <x v="2"/>
    <n v="1003"/>
    <x v="187"/>
    <x v="0"/>
    <s v="New Mexico"/>
    <s v="Albuquerque"/>
    <x v="5"/>
    <x v="3"/>
    <x v="18"/>
    <x v="96"/>
    <x v="103"/>
    <x v="13"/>
    <s v="Online"/>
  </r>
  <r>
    <x v="2"/>
    <n v="1003"/>
    <x v="170"/>
    <x v="2"/>
    <s v="Rhode Island"/>
    <s v="Providence"/>
    <x v="2"/>
    <x v="29"/>
    <x v="65"/>
    <x v="241"/>
    <x v="266"/>
    <x v="1"/>
    <s v="In-store"/>
  </r>
  <r>
    <x v="2"/>
    <n v="1003"/>
    <x v="28"/>
    <x v="4"/>
    <s v="Texas"/>
    <s v="Dallas"/>
    <x v="0"/>
    <x v="4"/>
    <x v="53"/>
    <x v="63"/>
    <x v="341"/>
    <x v="12"/>
    <s v="Outlet"/>
  </r>
  <r>
    <x v="0"/>
    <n v="1004"/>
    <x v="117"/>
    <x v="3"/>
    <s v="Indiana"/>
    <s v="Indianapolis"/>
    <x v="0"/>
    <x v="22"/>
    <x v="40"/>
    <x v="307"/>
    <x v="151"/>
    <x v="13"/>
    <s v="In-store"/>
  </r>
  <r>
    <x v="0"/>
    <n v="1004"/>
    <x v="244"/>
    <x v="0"/>
    <s v="Colorado"/>
    <s v="Denver"/>
    <x v="5"/>
    <x v="44"/>
    <x v="59"/>
    <x v="308"/>
    <x v="342"/>
    <x v="8"/>
    <s v="Online"/>
  </r>
  <r>
    <x v="1"/>
    <n v="1006"/>
    <x v="245"/>
    <x v="2"/>
    <s v="Massachusetts"/>
    <s v="Boston"/>
    <x v="3"/>
    <x v="4"/>
    <x v="34"/>
    <x v="34"/>
    <x v="343"/>
    <x v="26"/>
    <s v="In-store"/>
  </r>
  <r>
    <x v="0"/>
    <n v="1004"/>
    <x v="246"/>
    <x v="4"/>
    <s v="Arkansas"/>
    <s v="Little Rock"/>
    <x v="3"/>
    <x v="63"/>
    <x v="47"/>
    <x v="309"/>
    <x v="344"/>
    <x v="5"/>
    <s v="Outlet"/>
  </r>
  <r>
    <x v="3"/>
    <n v="1001"/>
    <x v="56"/>
    <x v="2"/>
    <s v="Pennsylvania"/>
    <s v="Philadelphia"/>
    <x v="1"/>
    <x v="29"/>
    <x v="18"/>
    <x v="258"/>
    <x v="345"/>
    <x v="8"/>
    <s v="Outlet"/>
  </r>
  <r>
    <x v="1"/>
    <n v="1006"/>
    <x v="38"/>
    <x v="2"/>
    <s v="Maine"/>
    <s v="Portland"/>
    <x v="3"/>
    <x v="26"/>
    <x v="55"/>
    <x v="310"/>
    <x v="346"/>
    <x v="10"/>
    <s v="Online"/>
  </r>
  <r>
    <x v="0"/>
    <n v="1004"/>
    <x v="54"/>
    <x v="3"/>
    <s v="Wisconsin"/>
    <s v="Milwaukee"/>
    <x v="2"/>
    <x v="34"/>
    <x v="166"/>
    <x v="311"/>
    <x v="347"/>
    <x v="8"/>
    <s v="Online"/>
  </r>
  <r>
    <x v="5"/>
    <n v="1005"/>
    <x v="247"/>
    <x v="2"/>
    <s v="New York"/>
    <s v="Albany"/>
    <x v="1"/>
    <x v="24"/>
    <x v="167"/>
    <x v="312"/>
    <x v="348"/>
    <x v="32"/>
    <s v="Online"/>
  </r>
  <r>
    <x v="3"/>
    <n v="1001"/>
    <x v="248"/>
    <x v="3"/>
    <s v="Nebraska"/>
    <s v="Omaha"/>
    <x v="2"/>
    <x v="22"/>
    <x v="17"/>
    <x v="137"/>
    <x v="349"/>
    <x v="12"/>
    <s v="Outlet"/>
  </r>
  <r>
    <x v="0"/>
    <n v="1004"/>
    <x v="39"/>
    <x v="0"/>
    <s v="Colorado"/>
    <s v="Denver"/>
    <x v="4"/>
    <x v="45"/>
    <x v="34"/>
    <x v="313"/>
    <x v="350"/>
    <x v="54"/>
    <s v="In-store"/>
  </r>
  <r>
    <x v="2"/>
    <n v="1003"/>
    <x v="54"/>
    <x v="1"/>
    <s v="North Carolina"/>
    <s v="Charlotte"/>
    <x v="0"/>
    <x v="53"/>
    <x v="18"/>
    <x v="185"/>
    <x v="351"/>
    <x v="1"/>
    <s v="Online"/>
  </r>
  <r>
    <x v="2"/>
    <n v="1003"/>
    <x v="20"/>
    <x v="4"/>
    <s v="Texas"/>
    <s v="Houston"/>
    <x v="2"/>
    <x v="53"/>
    <x v="168"/>
    <x v="314"/>
    <x v="352"/>
    <x v="23"/>
    <s v="Outlet"/>
  </r>
  <r>
    <x v="0"/>
    <n v="1004"/>
    <x v="249"/>
    <x v="0"/>
    <s v="Washington"/>
    <s v="Seattle"/>
    <x v="3"/>
    <x v="20"/>
    <x v="67"/>
    <x v="315"/>
    <x v="353"/>
    <x v="30"/>
    <s v="Online"/>
  </r>
  <r>
    <x v="5"/>
    <n v="1005"/>
    <x v="250"/>
    <x v="0"/>
    <s v="California"/>
    <s v="Los Angeles"/>
    <x v="5"/>
    <x v="4"/>
    <x v="5"/>
    <x v="316"/>
    <x v="354"/>
    <x v="44"/>
    <s v="Online"/>
  </r>
  <r>
    <x v="3"/>
    <n v="1001"/>
    <x v="140"/>
    <x v="2"/>
    <s v="Rhode Island"/>
    <s v="Providence"/>
    <x v="3"/>
    <x v="33"/>
    <x v="169"/>
    <x v="317"/>
    <x v="355"/>
    <x v="12"/>
    <s v="Online"/>
  </r>
  <r>
    <x v="2"/>
    <n v="1003"/>
    <x v="251"/>
    <x v="2"/>
    <s v="Connecticut"/>
    <s v="Hartford"/>
    <x v="1"/>
    <x v="7"/>
    <x v="52"/>
    <x v="62"/>
    <x v="356"/>
    <x v="1"/>
    <s v="In-store"/>
  </r>
  <r>
    <x v="2"/>
    <n v="1003"/>
    <x v="77"/>
    <x v="2"/>
    <s v="Massachusetts"/>
    <s v="Boston"/>
    <x v="5"/>
    <x v="4"/>
    <x v="32"/>
    <x v="52"/>
    <x v="357"/>
    <x v="25"/>
    <s v="In-store"/>
  </r>
  <r>
    <x v="3"/>
    <n v="1001"/>
    <x v="252"/>
    <x v="3"/>
    <s v="South Dakota"/>
    <s v="Sioux Falls"/>
    <x v="3"/>
    <x v="13"/>
    <x v="9"/>
    <x v="318"/>
    <x v="10"/>
    <x v="26"/>
    <s v="Online"/>
  </r>
  <r>
    <x v="1"/>
    <n v="1006"/>
    <x v="253"/>
    <x v="2"/>
    <s v="New Hampshire"/>
    <s v="Manchester"/>
    <x v="0"/>
    <x v="4"/>
    <x v="17"/>
    <x v="163"/>
    <x v="358"/>
    <x v="3"/>
    <s v="In-store"/>
  </r>
  <r>
    <x v="0"/>
    <n v="1004"/>
    <x v="203"/>
    <x v="1"/>
    <s v="Florida"/>
    <s v="Orlando"/>
    <x v="1"/>
    <x v="4"/>
    <x v="143"/>
    <x v="249"/>
    <x v="359"/>
    <x v="26"/>
    <s v="In-store"/>
  </r>
  <r>
    <x v="2"/>
    <n v="1003"/>
    <x v="36"/>
    <x v="4"/>
    <s v="Tennessee"/>
    <s v="Knoxville"/>
    <x v="5"/>
    <x v="39"/>
    <x v="11"/>
    <x v="319"/>
    <x v="360"/>
    <x v="18"/>
    <s v="Outlet"/>
  </r>
  <r>
    <x v="4"/>
    <n v="1002"/>
    <x v="27"/>
    <x v="1"/>
    <s v="Florida"/>
    <s v="Orlando"/>
    <x v="1"/>
    <x v="7"/>
    <x v="52"/>
    <x v="62"/>
    <x v="361"/>
    <x v="3"/>
    <s v="In-store"/>
  </r>
  <r>
    <x v="2"/>
    <n v="1003"/>
    <x v="246"/>
    <x v="4"/>
    <s v="Mississippi"/>
    <s v="Jackson"/>
    <x v="5"/>
    <x v="61"/>
    <x v="7"/>
    <x v="48"/>
    <x v="239"/>
    <x v="1"/>
    <s v="Online"/>
  </r>
  <r>
    <x v="2"/>
    <n v="1003"/>
    <x v="18"/>
    <x v="2"/>
    <s v="Rhode Island"/>
    <s v="Providence"/>
    <x v="5"/>
    <x v="17"/>
    <x v="65"/>
    <x v="320"/>
    <x v="362"/>
    <x v="1"/>
    <s v="In-store"/>
  </r>
  <r>
    <x v="3"/>
    <n v="1001"/>
    <x v="113"/>
    <x v="0"/>
    <s v="Alaska"/>
    <s v="Anchorage"/>
    <x v="4"/>
    <x v="17"/>
    <x v="39"/>
    <x v="54"/>
    <x v="134"/>
    <x v="39"/>
    <s v="Outlet"/>
  </r>
  <r>
    <x v="2"/>
    <n v="1003"/>
    <x v="254"/>
    <x v="4"/>
    <s v="Texas"/>
    <s v="Dallas"/>
    <x v="4"/>
    <x v="38"/>
    <x v="138"/>
    <x v="321"/>
    <x v="363"/>
    <x v="55"/>
    <s v="Outlet"/>
  </r>
  <r>
    <x v="5"/>
    <n v="1005"/>
    <x v="16"/>
    <x v="4"/>
    <s v="Oklahoma"/>
    <s v="Oklahoma City"/>
    <x v="0"/>
    <x v="35"/>
    <x v="122"/>
    <x v="322"/>
    <x v="364"/>
    <x v="24"/>
    <s v="Online"/>
  </r>
  <r>
    <x v="2"/>
    <n v="1003"/>
    <x v="119"/>
    <x v="2"/>
    <s v="Connecticut"/>
    <s v="Hartford"/>
    <x v="2"/>
    <x v="8"/>
    <x v="170"/>
    <x v="323"/>
    <x v="365"/>
    <x v="12"/>
    <s v="Online"/>
  </r>
  <r>
    <x v="3"/>
    <n v="1001"/>
    <x v="255"/>
    <x v="3"/>
    <s v="North Dakota"/>
    <s v="Fargo"/>
    <x v="3"/>
    <x v="27"/>
    <x v="152"/>
    <x v="324"/>
    <x v="366"/>
    <x v="4"/>
    <s v="Online"/>
  </r>
  <r>
    <x v="0"/>
    <n v="1004"/>
    <x v="111"/>
    <x v="3"/>
    <s v="Indiana"/>
    <s v="Indianapolis"/>
    <x v="5"/>
    <x v="10"/>
    <x v="130"/>
    <x v="325"/>
    <x v="367"/>
    <x v="26"/>
    <s v="Online"/>
  </r>
  <r>
    <x v="3"/>
    <n v="1001"/>
    <x v="10"/>
    <x v="3"/>
    <s v="South Dakota"/>
    <s v="Sioux Falls"/>
    <x v="5"/>
    <x v="28"/>
    <x v="171"/>
    <x v="326"/>
    <x v="368"/>
    <x v="1"/>
    <s v="Online"/>
  </r>
  <r>
    <x v="4"/>
    <n v="1002"/>
    <x v="222"/>
    <x v="4"/>
    <s v="Arkansas"/>
    <s v="Little Rock"/>
    <x v="2"/>
    <x v="41"/>
    <x v="57"/>
    <x v="327"/>
    <x v="369"/>
    <x v="9"/>
    <s v="Online"/>
  </r>
  <r>
    <x v="3"/>
    <n v="1001"/>
    <x v="256"/>
    <x v="3"/>
    <s v="Illinois"/>
    <s v="Chicago"/>
    <x v="1"/>
    <x v="7"/>
    <x v="27"/>
    <x v="328"/>
    <x v="370"/>
    <x v="15"/>
    <s v="Online"/>
  </r>
  <r>
    <x v="3"/>
    <n v="1001"/>
    <x v="257"/>
    <x v="2"/>
    <s v="New York"/>
    <s v="New York"/>
    <x v="3"/>
    <x v="11"/>
    <x v="172"/>
    <x v="329"/>
    <x v="371"/>
    <x v="0"/>
    <s v="Online"/>
  </r>
  <r>
    <x v="3"/>
    <n v="1001"/>
    <x v="38"/>
    <x v="3"/>
    <s v="Missouri"/>
    <s v="St. Louis"/>
    <x v="4"/>
    <x v="4"/>
    <x v="51"/>
    <x v="103"/>
    <x v="372"/>
    <x v="13"/>
    <s v="In-store"/>
  </r>
  <r>
    <x v="0"/>
    <n v="1004"/>
    <x v="9"/>
    <x v="0"/>
    <s v="Oregon"/>
    <s v="Portland"/>
    <x v="1"/>
    <x v="1"/>
    <x v="66"/>
    <x v="330"/>
    <x v="126"/>
    <x v="13"/>
    <s v="In-store"/>
  </r>
  <r>
    <x v="2"/>
    <n v="1003"/>
    <x v="65"/>
    <x v="1"/>
    <s v="Georgia"/>
    <s v="Atlanta"/>
    <x v="3"/>
    <x v="48"/>
    <x v="17"/>
    <x v="331"/>
    <x v="373"/>
    <x v="0"/>
    <s v="Outlet"/>
  </r>
  <r>
    <x v="0"/>
    <n v="1004"/>
    <x v="64"/>
    <x v="2"/>
    <s v="West Virginia"/>
    <s v="Charleston"/>
    <x v="2"/>
    <x v="19"/>
    <x v="67"/>
    <x v="332"/>
    <x v="374"/>
    <x v="44"/>
    <s v="Online"/>
  </r>
  <r>
    <x v="3"/>
    <n v="1001"/>
    <x v="199"/>
    <x v="1"/>
    <s v="Kentucky"/>
    <s v="Louisville"/>
    <x v="1"/>
    <x v="39"/>
    <x v="28"/>
    <x v="333"/>
    <x v="375"/>
    <x v="1"/>
    <s v="Online"/>
  </r>
  <r>
    <x v="0"/>
    <n v="1004"/>
    <x v="258"/>
    <x v="0"/>
    <s v="Washington"/>
    <s v="Seattle"/>
    <x v="4"/>
    <x v="29"/>
    <x v="17"/>
    <x v="334"/>
    <x v="233"/>
    <x v="25"/>
    <s v="In-store"/>
  </r>
  <r>
    <x v="3"/>
    <n v="1001"/>
    <x v="259"/>
    <x v="3"/>
    <s v="Illinois"/>
    <s v="Chicago"/>
    <x v="3"/>
    <x v="17"/>
    <x v="4"/>
    <x v="185"/>
    <x v="322"/>
    <x v="13"/>
    <s v="Outlet"/>
  </r>
  <r>
    <x v="0"/>
    <n v="1004"/>
    <x v="0"/>
    <x v="0"/>
    <s v="Utah"/>
    <s v="Salt Lake City"/>
    <x v="2"/>
    <x v="31"/>
    <x v="70"/>
    <x v="335"/>
    <x v="376"/>
    <x v="8"/>
    <s v="Outlet"/>
  </r>
  <r>
    <x v="1"/>
    <n v="1006"/>
    <x v="238"/>
    <x v="2"/>
    <s v="Maine"/>
    <s v="Portland"/>
    <x v="1"/>
    <x v="15"/>
    <x v="173"/>
    <x v="336"/>
    <x v="377"/>
    <x v="19"/>
    <s v="Online"/>
  </r>
  <r>
    <x v="0"/>
    <n v="1004"/>
    <x v="238"/>
    <x v="0"/>
    <s v="Oregon"/>
    <s v="Portland"/>
    <x v="1"/>
    <x v="1"/>
    <x v="82"/>
    <x v="183"/>
    <x v="192"/>
    <x v="13"/>
    <s v="In-store"/>
  </r>
  <r>
    <x v="3"/>
    <n v="1001"/>
    <x v="224"/>
    <x v="3"/>
    <s v="Iowa"/>
    <s v="Des Moines"/>
    <x v="5"/>
    <x v="8"/>
    <x v="61"/>
    <x v="337"/>
    <x v="378"/>
    <x v="17"/>
    <s v="Online"/>
  </r>
  <r>
    <x v="2"/>
    <n v="1003"/>
    <x v="260"/>
    <x v="1"/>
    <s v="North Carolina"/>
    <s v="Charlotte"/>
    <x v="1"/>
    <x v="62"/>
    <x v="45"/>
    <x v="338"/>
    <x v="379"/>
    <x v="24"/>
    <s v="Online"/>
  </r>
  <r>
    <x v="2"/>
    <n v="1003"/>
    <x v="13"/>
    <x v="3"/>
    <s v="Michigan"/>
    <s v="Detroit"/>
    <x v="3"/>
    <x v="24"/>
    <x v="54"/>
    <x v="339"/>
    <x v="380"/>
    <x v="9"/>
    <s v="Online"/>
  </r>
  <r>
    <x v="2"/>
    <n v="1003"/>
    <x v="261"/>
    <x v="4"/>
    <s v="Tennessee"/>
    <s v="Knoxville"/>
    <x v="0"/>
    <x v="11"/>
    <x v="127"/>
    <x v="340"/>
    <x v="381"/>
    <x v="56"/>
    <s v="Online"/>
  </r>
  <r>
    <x v="0"/>
    <n v="1004"/>
    <x v="262"/>
    <x v="2"/>
    <s v="New York"/>
    <s v="Albany"/>
    <x v="2"/>
    <x v="29"/>
    <x v="52"/>
    <x v="341"/>
    <x v="382"/>
    <x v="12"/>
    <s v="In-store"/>
  </r>
  <r>
    <x v="3"/>
    <n v="1001"/>
    <x v="252"/>
    <x v="3"/>
    <s v="South Dakota"/>
    <s v="Sioux Falls"/>
    <x v="5"/>
    <x v="8"/>
    <x v="19"/>
    <x v="342"/>
    <x v="383"/>
    <x v="1"/>
    <s v="Online"/>
  </r>
  <r>
    <x v="2"/>
    <n v="1003"/>
    <x v="105"/>
    <x v="1"/>
    <s v="Georgia"/>
    <s v="Atlanta"/>
    <x v="4"/>
    <x v="18"/>
    <x v="31"/>
    <x v="285"/>
    <x v="384"/>
    <x v="5"/>
    <s v="Outlet"/>
  </r>
  <r>
    <x v="3"/>
    <n v="1001"/>
    <x v="231"/>
    <x v="1"/>
    <s v="Virginia"/>
    <s v="Richmond"/>
    <x v="2"/>
    <x v="9"/>
    <x v="101"/>
    <x v="343"/>
    <x v="385"/>
    <x v="27"/>
    <s v="Online"/>
  </r>
  <r>
    <x v="2"/>
    <n v="1003"/>
    <x v="263"/>
    <x v="3"/>
    <s v="Michigan"/>
    <s v="Detroit"/>
    <x v="5"/>
    <x v="39"/>
    <x v="81"/>
    <x v="103"/>
    <x v="386"/>
    <x v="3"/>
    <s v="In-store"/>
  </r>
  <r>
    <x v="2"/>
    <n v="1003"/>
    <x v="202"/>
    <x v="1"/>
    <s v="Virginia"/>
    <s v="Richmond"/>
    <x v="5"/>
    <x v="63"/>
    <x v="124"/>
    <x v="344"/>
    <x v="387"/>
    <x v="30"/>
    <s v="Outlet"/>
  </r>
  <r>
    <x v="2"/>
    <n v="1003"/>
    <x v="264"/>
    <x v="4"/>
    <s v="Mississippi"/>
    <s v="Jackson"/>
    <x v="3"/>
    <x v="53"/>
    <x v="81"/>
    <x v="4"/>
    <x v="388"/>
    <x v="13"/>
    <s v="Online"/>
  </r>
  <r>
    <x v="3"/>
    <n v="1001"/>
    <x v="51"/>
    <x v="2"/>
    <s v="Rhode Island"/>
    <s v="Providence"/>
    <x v="1"/>
    <x v="17"/>
    <x v="95"/>
    <x v="122"/>
    <x v="389"/>
    <x v="13"/>
    <s v="In-store"/>
  </r>
  <r>
    <x v="0"/>
    <n v="1004"/>
    <x v="265"/>
    <x v="0"/>
    <s v="Colorado"/>
    <s v="Denver"/>
    <x v="2"/>
    <x v="23"/>
    <x v="174"/>
    <x v="345"/>
    <x v="390"/>
    <x v="36"/>
    <s v="Online"/>
  </r>
  <r>
    <x v="3"/>
    <n v="1001"/>
    <x v="232"/>
    <x v="2"/>
    <s v="Pennsylvania"/>
    <s v="Philadelphia"/>
    <x v="0"/>
    <x v="14"/>
    <x v="175"/>
    <x v="346"/>
    <x v="391"/>
    <x v="2"/>
    <s v="Online"/>
  </r>
  <r>
    <x v="2"/>
    <n v="1003"/>
    <x v="213"/>
    <x v="2"/>
    <s v="Connecticut"/>
    <s v="Hartford"/>
    <x v="3"/>
    <x v="17"/>
    <x v="7"/>
    <x v="347"/>
    <x v="392"/>
    <x v="1"/>
    <s v="In-store"/>
  </r>
  <r>
    <x v="3"/>
    <n v="1001"/>
    <x v="199"/>
    <x v="3"/>
    <s v="Michigan"/>
    <s v="Detroit"/>
    <x v="5"/>
    <x v="43"/>
    <x v="30"/>
    <x v="348"/>
    <x v="55"/>
    <x v="13"/>
    <s v="In-store"/>
  </r>
  <r>
    <x v="2"/>
    <n v="1003"/>
    <x v="105"/>
    <x v="0"/>
    <s v="New Mexico"/>
    <s v="Albuquerque"/>
    <x v="1"/>
    <x v="27"/>
    <x v="3"/>
    <x v="349"/>
    <x v="393"/>
    <x v="24"/>
    <s v="Online"/>
  </r>
  <r>
    <x v="2"/>
    <n v="1003"/>
    <x v="266"/>
    <x v="3"/>
    <s v="Montana"/>
    <s v="Billings"/>
    <x v="5"/>
    <x v="39"/>
    <x v="18"/>
    <x v="30"/>
    <x v="30"/>
    <x v="13"/>
    <s v="Outlet"/>
  </r>
  <r>
    <x v="0"/>
    <n v="1004"/>
    <x v="227"/>
    <x v="0"/>
    <s v="California"/>
    <s v="San Francisco"/>
    <x v="2"/>
    <x v="25"/>
    <x v="28"/>
    <x v="350"/>
    <x v="375"/>
    <x v="39"/>
    <s v="Outlet"/>
  </r>
  <r>
    <x v="3"/>
    <n v="1001"/>
    <x v="218"/>
    <x v="1"/>
    <s v="Virginia"/>
    <s v="Richmond"/>
    <x v="1"/>
    <x v="23"/>
    <x v="79"/>
    <x v="351"/>
    <x v="394"/>
    <x v="10"/>
    <s v="Online"/>
  </r>
  <r>
    <x v="4"/>
    <n v="1002"/>
    <x v="267"/>
    <x v="4"/>
    <s v="Texas"/>
    <s v="Houston"/>
    <x v="5"/>
    <x v="1"/>
    <x v="151"/>
    <x v="38"/>
    <x v="38"/>
    <x v="13"/>
    <s v="Outlet"/>
  </r>
  <r>
    <x v="3"/>
    <n v="1001"/>
    <x v="173"/>
    <x v="0"/>
    <s v="Idaho"/>
    <s v="Boise"/>
    <x v="2"/>
    <x v="12"/>
    <x v="94"/>
    <x v="352"/>
    <x v="395"/>
    <x v="53"/>
    <s v="Online"/>
  </r>
  <r>
    <x v="0"/>
    <n v="1004"/>
    <x v="167"/>
    <x v="1"/>
    <s v="Florida"/>
    <s v="Miami"/>
    <x v="1"/>
    <x v="23"/>
    <x v="51"/>
    <x v="353"/>
    <x v="396"/>
    <x v="23"/>
    <s v="Online"/>
  </r>
  <r>
    <x v="3"/>
    <n v="1001"/>
    <x v="268"/>
    <x v="3"/>
    <s v="Minnesota"/>
    <s v="Minneapolis"/>
    <x v="2"/>
    <x v="1"/>
    <x v="39"/>
    <x v="137"/>
    <x v="66"/>
    <x v="26"/>
    <s v="In-store"/>
  </r>
  <r>
    <x v="4"/>
    <n v="1002"/>
    <x v="269"/>
    <x v="4"/>
    <s v="Texas"/>
    <s v="Houston"/>
    <x v="4"/>
    <x v="13"/>
    <x v="113"/>
    <x v="224"/>
    <x v="397"/>
    <x v="1"/>
    <s v="Online"/>
  </r>
  <r>
    <x v="0"/>
    <n v="1004"/>
    <x v="246"/>
    <x v="4"/>
    <s v="Oklahoma"/>
    <s v="Oklahoma City"/>
    <x v="0"/>
    <x v="43"/>
    <x v="39"/>
    <x v="354"/>
    <x v="398"/>
    <x v="1"/>
    <s v="Online"/>
  </r>
  <r>
    <x v="2"/>
    <n v="1003"/>
    <x v="115"/>
    <x v="4"/>
    <s v="Mississippi"/>
    <s v="Jackson"/>
    <x v="3"/>
    <x v="48"/>
    <x v="121"/>
    <x v="355"/>
    <x v="399"/>
    <x v="41"/>
    <s v="Outlet"/>
  </r>
  <r>
    <x v="5"/>
    <n v="1005"/>
    <x v="270"/>
    <x v="0"/>
    <s v="Arizona"/>
    <s v="Phoenix"/>
    <x v="4"/>
    <x v="17"/>
    <x v="65"/>
    <x v="320"/>
    <x v="400"/>
    <x v="3"/>
    <s v="Online"/>
  </r>
  <r>
    <x v="2"/>
    <n v="1003"/>
    <x v="178"/>
    <x v="1"/>
    <s v="Georgia"/>
    <s v="Atlanta"/>
    <x v="3"/>
    <x v="3"/>
    <x v="77"/>
    <x v="121"/>
    <x v="401"/>
    <x v="1"/>
    <s v="Online"/>
  </r>
  <r>
    <x v="2"/>
    <n v="1003"/>
    <x v="271"/>
    <x v="3"/>
    <s v="North Dakota"/>
    <s v="Fargo"/>
    <x v="2"/>
    <x v="53"/>
    <x v="65"/>
    <x v="356"/>
    <x v="402"/>
    <x v="1"/>
    <s v="Online"/>
  </r>
  <r>
    <x v="3"/>
    <n v="1001"/>
    <x v="272"/>
    <x v="2"/>
    <s v="Delaware"/>
    <s v="Wilmington"/>
    <x v="1"/>
    <x v="7"/>
    <x v="83"/>
    <x v="357"/>
    <x v="403"/>
    <x v="13"/>
    <s v="In-store"/>
  </r>
  <r>
    <x v="3"/>
    <n v="1001"/>
    <x v="42"/>
    <x v="2"/>
    <s v="Maryland"/>
    <s v="Baltimore"/>
    <x v="0"/>
    <x v="34"/>
    <x v="176"/>
    <x v="358"/>
    <x v="230"/>
    <x v="12"/>
    <s v="Online"/>
  </r>
  <r>
    <x v="0"/>
    <n v="1004"/>
    <x v="19"/>
    <x v="2"/>
    <s v="New York"/>
    <s v="Albany"/>
    <x v="5"/>
    <x v="6"/>
    <x v="59"/>
    <x v="359"/>
    <x v="404"/>
    <x v="30"/>
    <s v="Online"/>
  </r>
  <r>
    <x v="0"/>
    <n v="1004"/>
    <x v="6"/>
    <x v="3"/>
    <s v="Indiana"/>
    <s v="Indianapolis"/>
    <x v="0"/>
    <x v="13"/>
    <x v="177"/>
    <x v="360"/>
    <x v="405"/>
    <x v="2"/>
    <s v="Online"/>
  </r>
  <r>
    <x v="5"/>
    <n v="1005"/>
    <x v="273"/>
    <x v="0"/>
    <s v="California"/>
    <s v="Los Angeles"/>
    <x v="2"/>
    <x v="33"/>
    <x v="94"/>
    <x v="361"/>
    <x v="406"/>
    <x v="46"/>
    <s v="Outlet"/>
  </r>
  <r>
    <x v="0"/>
    <n v="1004"/>
    <x v="85"/>
    <x v="3"/>
    <s v="Indiana"/>
    <s v="Indianapolis"/>
    <x v="5"/>
    <x v="33"/>
    <x v="101"/>
    <x v="362"/>
    <x v="407"/>
    <x v="10"/>
    <s v="Online"/>
  </r>
  <r>
    <x v="4"/>
    <n v="1002"/>
    <x v="274"/>
    <x v="4"/>
    <s v="Texas"/>
    <s v="Houston"/>
    <x v="3"/>
    <x v="14"/>
    <x v="163"/>
    <x v="363"/>
    <x v="408"/>
    <x v="26"/>
    <s v="Online"/>
  </r>
  <r>
    <x v="0"/>
    <n v="1004"/>
    <x v="275"/>
    <x v="3"/>
    <s v="Indiana"/>
    <s v="Indianapolis"/>
    <x v="4"/>
    <x v="3"/>
    <x v="51"/>
    <x v="182"/>
    <x v="170"/>
    <x v="3"/>
    <s v="In-store"/>
  </r>
  <r>
    <x v="2"/>
    <n v="1003"/>
    <x v="19"/>
    <x v="3"/>
    <s v="North Dakota"/>
    <s v="Fargo"/>
    <x v="0"/>
    <x v="53"/>
    <x v="178"/>
    <x v="364"/>
    <x v="409"/>
    <x v="0"/>
    <s v="Online"/>
  </r>
  <r>
    <x v="0"/>
    <n v="1004"/>
    <x v="171"/>
    <x v="0"/>
    <s v="Utah"/>
    <s v="Salt Lake City"/>
    <x v="2"/>
    <x v="53"/>
    <x v="7"/>
    <x v="365"/>
    <x v="351"/>
    <x v="12"/>
    <s v="In-store"/>
  </r>
  <r>
    <x v="1"/>
    <n v="1006"/>
    <x v="122"/>
    <x v="1"/>
    <s v="Kentucky"/>
    <s v="Louisville"/>
    <x v="5"/>
    <x v="22"/>
    <x v="32"/>
    <x v="41"/>
    <x v="66"/>
    <x v="1"/>
    <s v="Online"/>
  </r>
  <r>
    <x v="3"/>
    <n v="1001"/>
    <x v="56"/>
    <x v="2"/>
    <s v="Maryland"/>
    <s v="Baltimore"/>
    <x v="5"/>
    <x v="17"/>
    <x v="124"/>
    <x v="97"/>
    <x v="104"/>
    <x v="13"/>
    <s v="In-store"/>
  </r>
  <r>
    <x v="2"/>
    <n v="1003"/>
    <x v="66"/>
    <x v="2"/>
    <s v="Massachusetts"/>
    <s v="Boston"/>
    <x v="0"/>
    <x v="10"/>
    <x v="33"/>
    <x v="366"/>
    <x v="31"/>
    <x v="35"/>
    <s v="Outlet"/>
  </r>
  <r>
    <x v="2"/>
    <n v="1003"/>
    <x v="10"/>
    <x v="3"/>
    <s v="South Dakota"/>
    <s v="Sioux Falls"/>
    <x v="2"/>
    <x v="3"/>
    <x v="4"/>
    <x v="30"/>
    <x v="292"/>
    <x v="1"/>
    <s v="Online"/>
  </r>
  <r>
    <x v="3"/>
    <n v="1001"/>
    <x v="67"/>
    <x v="1"/>
    <s v="Kentucky"/>
    <s v="Louisville"/>
    <x v="2"/>
    <x v="64"/>
    <x v="179"/>
    <x v="367"/>
    <x v="410"/>
    <x v="15"/>
    <s v="Online"/>
  </r>
  <r>
    <x v="0"/>
    <n v="1004"/>
    <x v="218"/>
    <x v="0"/>
    <s v="Oregon"/>
    <s v="Portland"/>
    <x v="0"/>
    <x v="14"/>
    <x v="14"/>
    <x v="14"/>
    <x v="411"/>
    <x v="12"/>
    <s v="Online"/>
  </r>
  <r>
    <x v="2"/>
    <n v="1003"/>
    <x v="276"/>
    <x v="4"/>
    <s v="Alabama"/>
    <s v="Birmingham"/>
    <x v="0"/>
    <x v="4"/>
    <x v="77"/>
    <x v="89"/>
    <x v="412"/>
    <x v="50"/>
    <s v="Outlet"/>
  </r>
  <r>
    <x v="3"/>
    <n v="1001"/>
    <x v="178"/>
    <x v="3"/>
    <s v="Kansas"/>
    <s v="Wichita"/>
    <x v="2"/>
    <x v="56"/>
    <x v="82"/>
    <x v="132"/>
    <x v="295"/>
    <x v="13"/>
    <s v="Online"/>
  </r>
  <r>
    <x v="3"/>
    <n v="1001"/>
    <x v="277"/>
    <x v="3"/>
    <s v="Minnesota"/>
    <s v="Minneapolis"/>
    <x v="3"/>
    <x v="22"/>
    <x v="17"/>
    <x v="137"/>
    <x v="48"/>
    <x v="3"/>
    <s v="Outlet"/>
  </r>
  <r>
    <x v="5"/>
    <n v="1005"/>
    <x v="102"/>
    <x v="2"/>
    <s v="New Jersey"/>
    <s v="Newark"/>
    <x v="5"/>
    <x v="15"/>
    <x v="78"/>
    <x v="368"/>
    <x v="413"/>
    <x v="24"/>
    <s v="Online"/>
  </r>
  <r>
    <x v="3"/>
    <n v="1001"/>
    <x v="62"/>
    <x v="2"/>
    <s v="New Hampshire"/>
    <s v="Manchester"/>
    <x v="4"/>
    <x v="3"/>
    <x v="16"/>
    <x v="369"/>
    <x v="414"/>
    <x v="41"/>
    <s v="Online"/>
  </r>
  <r>
    <x v="2"/>
    <n v="1003"/>
    <x v="278"/>
    <x v="4"/>
    <s v="Tennessee"/>
    <s v="Knoxville"/>
    <x v="5"/>
    <x v="15"/>
    <x v="180"/>
    <x v="370"/>
    <x v="415"/>
    <x v="2"/>
    <s v="Outlet"/>
  </r>
  <r>
    <x v="3"/>
    <n v="1001"/>
    <x v="164"/>
    <x v="3"/>
    <s v="North Dakota"/>
    <s v="Fargo"/>
    <x v="5"/>
    <x v="43"/>
    <x v="17"/>
    <x v="371"/>
    <x v="416"/>
    <x v="3"/>
    <s v="In-store"/>
  </r>
  <r>
    <x v="5"/>
    <n v="1005"/>
    <x v="279"/>
    <x v="0"/>
    <s v="New Mexico"/>
    <s v="Albuquerque"/>
    <x v="2"/>
    <x v="34"/>
    <x v="107"/>
    <x v="372"/>
    <x v="417"/>
    <x v="35"/>
    <s v="Outlet"/>
  </r>
  <r>
    <x v="2"/>
    <n v="1003"/>
    <x v="251"/>
    <x v="2"/>
    <s v="Connecticut"/>
    <s v="Hartford"/>
    <x v="0"/>
    <x v="14"/>
    <x v="61"/>
    <x v="373"/>
    <x v="418"/>
    <x v="11"/>
    <s v="Online"/>
  </r>
  <r>
    <x v="2"/>
    <n v="1003"/>
    <x v="121"/>
    <x v="2"/>
    <s v="Connecticut"/>
    <s v="Hartford"/>
    <x v="0"/>
    <x v="17"/>
    <x v="26"/>
    <x v="374"/>
    <x v="419"/>
    <x v="1"/>
    <s v="Online"/>
  </r>
  <r>
    <x v="1"/>
    <n v="1006"/>
    <x v="24"/>
    <x v="1"/>
    <s v="North Carolina"/>
    <s v="Charlotte"/>
    <x v="4"/>
    <x v="4"/>
    <x v="66"/>
    <x v="375"/>
    <x v="420"/>
    <x v="13"/>
    <s v="Online"/>
  </r>
  <r>
    <x v="4"/>
    <n v="1002"/>
    <x v="12"/>
    <x v="1"/>
    <s v="Florida"/>
    <s v="Orlando"/>
    <x v="1"/>
    <x v="48"/>
    <x v="181"/>
    <x v="376"/>
    <x v="421"/>
    <x v="41"/>
    <s v="Outlet"/>
  </r>
  <r>
    <x v="0"/>
    <n v="1004"/>
    <x v="280"/>
    <x v="3"/>
    <s v="Indiana"/>
    <s v="Indianapolis"/>
    <x v="0"/>
    <x v="43"/>
    <x v="96"/>
    <x v="377"/>
    <x v="422"/>
    <x v="13"/>
    <s v="In-store"/>
  </r>
  <r>
    <x v="5"/>
    <n v="1005"/>
    <x v="110"/>
    <x v="0"/>
    <s v="New Mexico"/>
    <s v="Albuquerque"/>
    <x v="1"/>
    <x v="28"/>
    <x v="182"/>
    <x v="378"/>
    <x v="423"/>
    <x v="11"/>
    <s v="Outlet"/>
  </r>
  <r>
    <x v="0"/>
    <n v="1004"/>
    <x v="281"/>
    <x v="0"/>
    <s v="Idaho"/>
    <s v="Boise"/>
    <x v="2"/>
    <x v="5"/>
    <x v="120"/>
    <x v="379"/>
    <x v="424"/>
    <x v="45"/>
    <s v="Outlet"/>
  </r>
  <r>
    <x v="0"/>
    <n v="1004"/>
    <x v="282"/>
    <x v="0"/>
    <s v="California"/>
    <s v="San Francisco"/>
    <x v="3"/>
    <x v="8"/>
    <x v="149"/>
    <x v="380"/>
    <x v="425"/>
    <x v="25"/>
    <s v="Outlet"/>
  </r>
  <r>
    <x v="3"/>
    <n v="1001"/>
    <x v="47"/>
    <x v="2"/>
    <s v="Delaware"/>
    <s v="Wilmington"/>
    <x v="5"/>
    <x v="4"/>
    <x v="34"/>
    <x v="34"/>
    <x v="34"/>
    <x v="1"/>
    <s v="In-store"/>
  </r>
  <r>
    <x v="0"/>
    <n v="1004"/>
    <x v="283"/>
    <x v="3"/>
    <s v="Iowa"/>
    <s v="Des Moines"/>
    <x v="5"/>
    <x v="43"/>
    <x v="4"/>
    <x v="381"/>
    <x v="426"/>
    <x v="3"/>
    <s v="In-store"/>
  </r>
  <r>
    <x v="5"/>
    <n v="1005"/>
    <x v="280"/>
    <x v="0"/>
    <s v="California"/>
    <s v="Los Angeles"/>
    <x v="0"/>
    <x v="28"/>
    <x v="183"/>
    <x v="382"/>
    <x v="427"/>
    <x v="19"/>
    <s v="Online"/>
  </r>
  <r>
    <x v="1"/>
    <n v="1006"/>
    <x v="226"/>
    <x v="2"/>
    <s v="Vermont"/>
    <s v="Burlington"/>
    <x v="2"/>
    <x v="34"/>
    <x v="39"/>
    <x v="383"/>
    <x v="428"/>
    <x v="2"/>
    <s v="Outlet"/>
  </r>
  <r>
    <x v="3"/>
    <n v="1001"/>
    <x v="36"/>
    <x v="4"/>
    <s v="Mississippi"/>
    <s v="Jackson"/>
    <x v="2"/>
    <x v="41"/>
    <x v="79"/>
    <x v="384"/>
    <x v="429"/>
    <x v="32"/>
    <s v="Online"/>
  </r>
  <r>
    <x v="5"/>
    <n v="1005"/>
    <x v="91"/>
    <x v="2"/>
    <s v="New Jersey"/>
    <s v="Newark"/>
    <x v="1"/>
    <x v="4"/>
    <x v="102"/>
    <x v="385"/>
    <x v="430"/>
    <x v="4"/>
    <s v="Online"/>
  </r>
  <r>
    <x v="2"/>
    <n v="1003"/>
    <x v="7"/>
    <x v="1"/>
    <s v="Georgia"/>
    <s v="Atlanta"/>
    <x v="3"/>
    <x v="8"/>
    <x v="145"/>
    <x v="386"/>
    <x v="431"/>
    <x v="26"/>
    <s v="Outlet"/>
  </r>
  <r>
    <x v="0"/>
    <n v="1004"/>
    <x v="284"/>
    <x v="0"/>
    <s v="Nevada"/>
    <s v="Las Vegas"/>
    <x v="5"/>
    <x v="3"/>
    <x v="30"/>
    <x v="387"/>
    <x v="125"/>
    <x v="13"/>
    <s v="In-store"/>
  </r>
  <r>
    <x v="5"/>
    <n v="1005"/>
    <x v="133"/>
    <x v="0"/>
    <s v="California"/>
    <s v="Los Angeles"/>
    <x v="4"/>
    <x v="20"/>
    <x v="5"/>
    <x v="388"/>
    <x v="432"/>
    <x v="57"/>
    <s v="Online"/>
  </r>
  <r>
    <x v="0"/>
    <n v="1004"/>
    <x v="0"/>
    <x v="3"/>
    <s v="Missouri"/>
    <s v="St. Louis"/>
    <x v="3"/>
    <x v="49"/>
    <x v="131"/>
    <x v="389"/>
    <x v="433"/>
    <x v="2"/>
    <s v="Online"/>
  </r>
  <r>
    <x v="0"/>
    <n v="1004"/>
    <x v="243"/>
    <x v="2"/>
    <s v="West Virginia"/>
    <s v="Charleston"/>
    <x v="1"/>
    <x v="14"/>
    <x v="67"/>
    <x v="390"/>
    <x v="434"/>
    <x v="15"/>
    <s v="Online"/>
  </r>
  <r>
    <x v="1"/>
    <n v="1006"/>
    <x v="142"/>
    <x v="3"/>
    <s v="Ohio"/>
    <s v="Columbus"/>
    <x v="1"/>
    <x v="24"/>
    <x v="154"/>
    <x v="391"/>
    <x v="435"/>
    <x v="15"/>
    <s v="Online"/>
  </r>
  <r>
    <x v="5"/>
    <n v="1005"/>
    <x v="285"/>
    <x v="3"/>
    <s v="Montana"/>
    <s v="Billings"/>
    <x v="1"/>
    <x v="48"/>
    <x v="59"/>
    <x v="392"/>
    <x v="436"/>
    <x v="38"/>
    <s v="Online"/>
  </r>
  <r>
    <x v="2"/>
    <n v="1003"/>
    <x v="105"/>
    <x v="0"/>
    <s v="New Mexico"/>
    <s v="Albuquerque"/>
    <x v="3"/>
    <x v="24"/>
    <x v="27"/>
    <x v="393"/>
    <x v="437"/>
    <x v="8"/>
    <s v="Online"/>
  </r>
  <r>
    <x v="2"/>
    <n v="1003"/>
    <x v="119"/>
    <x v="2"/>
    <s v="Connecticut"/>
    <s v="Hartford"/>
    <x v="4"/>
    <x v="26"/>
    <x v="148"/>
    <x v="394"/>
    <x v="438"/>
    <x v="26"/>
    <s v="Online"/>
  </r>
  <r>
    <x v="0"/>
    <n v="1004"/>
    <x v="36"/>
    <x v="4"/>
    <s v="Louisiana"/>
    <s v="New Orleans"/>
    <x v="0"/>
    <x v="15"/>
    <x v="12"/>
    <x v="395"/>
    <x v="439"/>
    <x v="24"/>
    <s v="Online"/>
  </r>
  <r>
    <x v="0"/>
    <n v="1004"/>
    <x v="246"/>
    <x v="4"/>
    <s v="Arkansas"/>
    <s v="Little Rock"/>
    <x v="1"/>
    <x v="53"/>
    <x v="52"/>
    <x v="396"/>
    <x v="440"/>
    <x v="1"/>
    <s v="Online"/>
  </r>
  <r>
    <x v="6"/>
    <m/>
    <x v="286"/>
    <x v="5"/>
    <m/>
    <m/>
    <x v="6"/>
    <x v="65"/>
    <x v="184"/>
    <x v="397"/>
    <x v="441"/>
    <x v="5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BD873A-DE3E-4361-A385-AF65D02C274A}" name="PivotTable1" cacheId="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9" firstHeaderRow="1" firstDataRow="1" firstDataCol="1"/>
  <pivotFields count="13">
    <pivotField compact="0" outline="0" showAll="0">
      <items count="7">
        <item x="1"/>
        <item x="3"/>
        <item x="5"/>
        <item x="2"/>
        <item x="4"/>
        <item x="0"/>
        <item t="default"/>
      </items>
    </pivotField>
    <pivotField compact="0" outline="0" showAll="0"/>
    <pivotField compact="0" numFmtId="164" outline="0" showAll="0"/>
    <pivotField axis="axisRow" compact="0" outline="0" showAll="0">
      <items count="6">
        <item x="3"/>
        <item x="2"/>
        <item x="4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65" outline="0" showAll="0"/>
    <pivotField compact="0" numFmtId="3" outline="0" showAll="0"/>
    <pivotField dataField="1" compact="0" numFmtId="165" outline="0" showAll="0">
      <items count="398">
        <item x="364"/>
        <item x="157"/>
        <item x="164"/>
        <item x="283"/>
        <item x="168"/>
        <item x="201"/>
        <item x="358"/>
        <item x="213"/>
        <item x="106"/>
        <item x="317"/>
        <item x="146"/>
        <item x="219"/>
        <item x="56"/>
        <item x="44"/>
        <item x="298"/>
        <item x="171"/>
        <item x="190"/>
        <item x="325"/>
        <item x="196"/>
        <item x="230"/>
        <item x="309"/>
        <item x="272"/>
        <item x="0"/>
        <item x="306"/>
        <item x="394"/>
        <item x="31"/>
        <item x="155"/>
        <item x="267"/>
        <item x="275"/>
        <item x="252"/>
        <item x="326"/>
        <item x="305"/>
        <item x="24"/>
        <item x="6"/>
        <item x="90"/>
        <item x="374"/>
        <item x="287"/>
        <item x="368"/>
        <item x="212"/>
        <item x="302"/>
        <item x="366"/>
        <item x="324"/>
        <item x="285"/>
        <item x="207"/>
        <item x="360"/>
        <item x="53"/>
        <item x="346"/>
        <item x="71"/>
        <item x="58"/>
        <item x="26"/>
        <item x="253"/>
        <item x="61"/>
        <item x="229"/>
        <item x="342"/>
        <item x="203"/>
        <item x="389"/>
        <item x="337"/>
        <item x="323"/>
        <item x="377"/>
        <item x="16"/>
        <item x="43"/>
        <item x="14"/>
        <item x="81"/>
        <item x="362"/>
        <item x="33"/>
        <item x="74"/>
        <item x="276"/>
        <item x="335"/>
        <item x="50"/>
        <item x="220"/>
        <item x="373"/>
        <item x="72"/>
        <item x="217"/>
        <item x="395"/>
        <item x="344"/>
        <item x="259"/>
        <item x="205"/>
        <item x="286"/>
        <item x="321"/>
        <item x="9"/>
        <item x="311"/>
        <item x="15"/>
        <item x="266"/>
        <item x="135"/>
        <item x="343"/>
        <item x="188"/>
        <item x="19"/>
        <item x="68"/>
        <item x="152"/>
        <item x="175"/>
        <item x="260"/>
        <item x="369"/>
        <item x="327"/>
        <item x="37"/>
        <item x="318"/>
        <item x="148"/>
        <item x="209"/>
        <item x="116"/>
        <item x="235"/>
        <item x="384"/>
        <item x="45"/>
        <item x="354"/>
        <item x="77"/>
        <item x="273"/>
        <item x="221"/>
        <item x="238"/>
        <item x="110"/>
        <item x="200"/>
        <item x="218"/>
        <item x="124"/>
        <item x="5"/>
        <item x="10"/>
        <item x="256"/>
        <item x="301"/>
        <item x="242"/>
        <item x="310"/>
        <item x="186"/>
        <item x="295"/>
        <item x="138"/>
        <item x="130"/>
        <item x="371"/>
        <item x="379"/>
        <item x="262"/>
        <item x="65"/>
        <item x="47"/>
        <item x="300"/>
        <item x="393"/>
        <item x="98"/>
        <item x="225"/>
        <item x="232"/>
        <item x="349"/>
        <item x="25"/>
        <item x="179"/>
        <item x="204"/>
        <item x="240"/>
        <item x="125"/>
        <item x="119"/>
        <item x="173"/>
        <item x="237"/>
        <item x="67"/>
        <item x="211"/>
        <item x="108"/>
        <item x="93"/>
        <item x="36"/>
        <item x="234"/>
        <item x="216"/>
        <item x="390"/>
        <item x="254"/>
        <item x="12"/>
        <item x="255"/>
        <item x="195"/>
        <item x="386"/>
        <item x="46"/>
        <item x="345"/>
        <item x="336"/>
        <item x="206"/>
        <item x="391"/>
        <item x="112"/>
        <item x="381"/>
        <item x="236"/>
        <item x="59"/>
        <item x="322"/>
        <item x="158"/>
        <item x="140"/>
        <item x="250"/>
        <item x="8"/>
        <item x="170"/>
        <item x="307"/>
        <item x="367"/>
        <item x="340"/>
        <item x="359"/>
        <item x="279"/>
        <item x="227"/>
        <item x="231"/>
        <item x="64"/>
        <item x="299"/>
        <item x="143"/>
        <item x="314"/>
        <item x="178"/>
        <item x="141"/>
        <item x="269"/>
        <item x="48"/>
        <item x="82"/>
        <item x="189"/>
        <item x="145"/>
        <item x="328"/>
        <item x="233"/>
        <item x="23"/>
        <item x="2"/>
        <item x="169"/>
        <item x="339"/>
        <item x="351"/>
        <item x="29"/>
        <item x="27"/>
        <item x="223"/>
        <item x="289"/>
        <item x="382"/>
        <item x="149"/>
        <item x="278"/>
        <item x="361"/>
        <item x="293"/>
        <item x="315"/>
        <item x="128"/>
        <item x="215"/>
        <item x="332"/>
        <item x="79"/>
        <item x="376"/>
        <item x="111"/>
        <item x="356"/>
        <item x="21"/>
        <item x="137"/>
        <item x="385"/>
        <item x="265"/>
        <item x="118"/>
        <item x="224"/>
        <item x="392"/>
        <item x="248"/>
        <item x="197"/>
        <item x="316"/>
        <item x="86"/>
        <item x="80"/>
        <item x="348"/>
        <item x="70"/>
        <item x="187"/>
        <item x="281"/>
        <item x="277"/>
        <item x="372"/>
        <item x="41"/>
        <item x="378"/>
        <item x="91"/>
        <item x="107"/>
        <item x="226"/>
        <item x="198"/>
        <item x="42"/>
        <item x="167"/>
        <item x="280"/>
        <item x="97"/>
        <item x="383"/>
        <item x="144"/>
        <item x="380"/>
        <item x="296"/>
        <item x="3"/>
        <item x="104"/>
        <item x="147"/>
        <item x="54"/>
        <item x="331"/>
        <item x="312"/>
        <item x="355"/>
        <item x="163"/>
        <item x="105"/>
        <item x="239"/>
        <item x="270"/>
        <item x="114"/>
        <item x="388"/>
        <item x="129"/>
        <item x="191"/>
        <item x="304"/>
        <item x="40"/>
        <item x="271"/>
        <item x="127"/>
        <item x="319"/>
        <item x="113"/>
        <item x="78"/>
        <item x="297"/>
        <item x="365"/>
        <item x="52"/>
        <item x="126"/>
        <item x="120"/>
        <item x="66"/>
        <item x="210"/>
        <item x="134"/>
        <item x="193"/>
        <item x="268"/>
        <item x="131"/>
        <item x="363"/>
        <item x="308"/>
        <item x="151"/>
        <item x="17"/>
        <item x="264"/>
        <item x="181"/>
        <item x="257"/>
        <item x="4"/>
        <item x="94"/>
        <item x="32"/>
        <item x="22"/>
        <item x="288"/>
        <item x="192"/>
        <item x="13"/>
        <item x="263"/>
        <item x="370"/>
        <item x="102"/>
        <item x="185"/>
        <item x="294"/>
        <item x="139"/>
        <item x="172"/>
        <item x="95"/>
        <item x="303"/>
        <item x="334"/>
        <item x="284"/>
        <item x="69"/>
        <item x="228"/>
        <item x="352"/>
        <item x="103"/>
        <item x="115"/>
        <item x="184"/>
        <item x="320"/>
        <item x="35"/>
        <item x="183"/>
        <item x="329"/>
        <item x="85"/>
        <item x="87"/>
        <item x="160"/>
        <item x="34"/>
        <item x="30"/>
        <item x="75"/>
        <item x="159"/>
        <item x="353"/>
        <item x="396"/>
        <item x="99"/>
        <item x="92"/>
        <item x="123"/>
        <item x="51"/>
        <item x="76"/>
        <item x="150"/>
        <item x="39"/>
        <item x="11"/>
        <item x="241"/>
        <item x="182"/>
        <item x="222"/>
        <item x="338"/>
        <item x="330"/>
        <item x="63"/>
        <item x="100"/>
        <item x="60"/>
        <item x="290"/>
        <item x="347"/>
        <item x="55"/>
        <item x="1"/>
        <item x="375"/>
        <item x="7"/>
        <item x="387"/>
        <item x="313"/>
        <item x="333"/>
        <item x="122"/>
        <item x="57"/>
        <item x="194"/>
        <item x="20"/>
        <item x="18"/>
        <item x="214"/>
        <item x="89"/>
        <item x="180"/>
        <item x="132"/>
        <item x="162"/>
        <item x="243"/>
        <item x="177"/>
        <item x="109"/>
        <item x="251"/>
        <item x="84"/>
        <item x="96"/>
        <item x="176"/>
        <item x="291"/>
        <item x="117"/>
        <item x="38"/>
        <item x="258"/>
        <item x="165"/>
        <item x="244"/>
        <item x="62"/>
        <item x="121"/>
        <item x="161"/>
        <item x="357"/>
        <item x="154"/>
        <item x="166"/>
        <item x="208"/>
        <item x="174"/>
        <item x="249"/>
        <item x="246"/>
        <item x="245"/>
        <item x="341"/>
        <item x="142"/>
        <item x="247"/>
        <item x="49"/>
        <item x="199"/>
        <item x="28"/>
        <item x="153"/>
        <item x="282"/>
        <item x="73"/>
        <item x="274"/>
        <item x="101"/>
        <item x="136"/>
        <item x="83"/>
        <item x="350"/>
        <item x="202"/>
        <item x="88"/>
        <item x="156"/>
        <item x="133"/>
        <item x="292"/>
        <item x="261"/>
        <item t="default"/>
      </items>
    </pivotField>
    <pivotField compact="0" numFmtId="165" outline="0" showAll="0"/>
    <pivotField compact="0" numFmtId="166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 Sales" fld="9" baseField="0" baseItem="0" numFmtId="165"/>
  </dataFields>
  <formats count="6">
    <format dxfId="76">
      <pivotArea type="all" dataOnly="0" outline="0" fieldPosition="0"/>
    </format>
    <format dxfId="77">
      <pivotArea outline="0" collapsedLevelsAreSubtotals="1" fieldPosition="0"/>
    </format>
    <format dxfId="78">
      <pivotArea field="3" type="button" dataOnly="0" labelOnly="1" outline="0" axis="axisRow" fieldPosition="0"/>
    </format>
    <format dxfId="79">
      <pivotArea dataOnly="0" labelOnly="1" outline="0" fieldPosition="0">
        <references count="1">
          <reference field="3" count="0"/>
        </references>
      </pivotArea>
    </format>
    <format dxfId="80">
      <pivotArea dataOnly="0" labelOnly="1" grandRow="1" outline="0" fieldPosition="0"/>
    </format>
    <format dxfId="8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414124-B9DE-4CC9-BC6B-254418BCAD50}" name="PivotTable2" cacheId="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3:B10" firstHeaderRow="1" firstDataRow="1" firstDataCol="1"/>
  <pivotFields count="13"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3"/>
        <item x="1"/>
        <item x="2"/>
        <item x="0"/>
        <item x="5"/>
        <item t="default"/>
      </items>
    </pivotField>
    <pivotField compact="0" numFmtId="165" outline="0" showAll="0"/>
    <pivotField compact="0" numFmtId="3" outline="0" showAll="0"/>
    <pivotField dataField="1" compact="0" numFmtId="165" outline="0" showAll="0">
      <items count="398">
        <item x="364"/>
        <item x="157"/>
        <item x="164"/>
        <item x="283"/>
        <item x="168"/>
        <item x="201"/>
        <item x="358"/>
        <item x="213"/>
        <item x="106"/>
        <item x="317"/>
        <item x="146"/>
        <item x="219"/>
        <item x="56"/>
        <item x="44"/>
        <item x="298"/>
        <item x="171"/>
        <item x="190"/>
        <item x="325"/>
        <item x="196"/>
        <item x="230"/>
        <item x="309"/>
        <item x="272"/>
        <item x="0"/>
        <item x="306"/>
        <item x="394"/>
        <item x="31"/>
        <item x="155"/>
        <item x="267"/>
        <item x="275"/>
        <item x="252"/>
        <item x="326"/>
        <item x="305"/>
        <item x="24"/>
        <item x="6"/>
        <item x="90"/>
        <item x="374"/>
        <item x="287"/>
        <item x="368"/>
        <item x="212"/>
        <item x="302"/>
        <item x="366"/>
        <item x="324"/>
        <item x="285"/>
        <item x="207"/>
        <item x="360"/>
        <item x="53"/>
        <item x="346"/>
        <item x="71"/>
        <item x="58"/>
        <item x="26"/>
        <item x="253"/>
        <item x="61"/>
        <item x="229"/>
        <item x="342"/>
        <item x="203"/>
        <item x="389"/>
        <item x="337"/>
        <item x="323"/>
        <item x="377"/>
        <item x="16"/>
        <item x="43"/>
        <item x="14"/>
        <item x="81"/>
        <item x="362"/>
        <item x="33"/>
        <item x="74"/>
        <item x="276"/>
        <item x="335"/>
        <item x="50"/>
        <item x="220"/>
        <item x="373"/>
        <item x="72"/>
        <item x="217"/>
        <item x="395"/>
        <item x="344"/>
        <item x="259"/>
        <item x="205"/>
        <item x="286"/>
        <item x="321"/>
        <item x="9"/>
        <item x="311"/>
        <item x="15"/>
        <item x="266"/>
        <item x="135"/>
        <item x="343"/>
        <item x="188"/>
        <item x="19"/>
        <item x="68"/>
        <item x="152"/>
        <item x="175"/>
        <item x="260"/>
        <item x="369"/>
        <item x="327"/>
        <item x="37"/>
        <item x="318"/>
        <item x="148"/>
        <item x="209"/>
        <item x="116"/>
        <item x="235"/>
        <item x="384"/>
        <item x="45"/>
        <item x="354"/>
        <item x="77"/>
        <item x="273"/>
        <item x="221"/>
        <item x="238"/>
        <item x="110"/>
        <item x="200"/>
        <item x="218"/>
        <item x="124"/>
        <item x="5"/>
        <item x="10"/>
        <item x="256"/>
        <item x="301"/>
        <item x="242"/>
        <item x="310"/>
        <item x="186"/>
        <item x="295"/>
        <item x="138"/>
        <item x="130"/>
        <item x="371"/>
        <item x="379"/>
        <item x="262"/>
        <item x="65"/>
        <item x="47"/>
        <item x="300"/>
        <item x="393"/>
        <item x="98"/>
        <item x="225"/>
        <item x="232"/>
        <item x="349"/>
        <item x="25"/>
        <item x="179"/>
        <item x="204"/>
        <item x="240"/>
        <item x="125"/>
        <item x="119"/>
        <item x="173"/>
        <item x="237"/>
        <item x="67"/>
        <item x="211"/>
        <item x="108"/>
        <item x="93"/>
        <item x="36"/>
        <item x="234"/>
        <item x="216"/>
        <item x="390"/>
        <item x="254"/>
        <item x="12"/>
        <item x="255"/>
        <item x="195"/>
        <item x="386"/>
        <item x="46"/>
        <item x="345"/>
        <item x="336"/>
        <item x="206"/>
        <item x="391"/>
        <item x="112"/>
        <item x="381"/>
        <item x="236"/>
        <item x="59"/>
        <item x="322"/>
        <item x="158"/>
        <item x="140"/>
        <item x="250"/>
        <item x="8"/>
        <item x="170"/>
        <item x="307"/>
        <item x="367"/>
        <item x="340"/>
        <item x="359"/>
        <item x="279"/>
        <item x="227"/>
        <item x="231"/>
        <item x="64"/>
        <item x="299"/>
        <item x="143"/>
        <item x="314"/>
        <item x="178"/>
        <item x="141"/>
        <item x="269"/>
        <item x="48"/>
        <item x="82"/>
        <item x="189"/>
        <item x="145"/>
        <item x="328"/>
        <item x="233"/>
        <item x="23"/>
        <item x="2"/>
        <item x="169"/>
        <item x="339"/>
        <item x="351"/>
        <item x="29"/>
        <item x="27"/>
        <item x="223"/>
        <item x="289"/>
        <item x="382"/>
        <item x="149"/>
        <item x="278"/>
        <item x="361"/>
        <item x="293"/>
        <item x="315"/>
        <item x="128"/>
        <item x="215"/>
        <item x="332"/>
        <item x="79"/>
        <item x="376"/>
        <item x="111"/>
        <item x="356"/>
        <item x="21"/>
        <item x="137"/>
        <item x="385"/>
        <item x="265"/>
        <item x="118"/>
        <item x="224"/>
        <item x="392"/>
        <item x="248"/>
        <item x="197"/>
        <item x="316"/>
        <item x="86"/>
        <item x="80"/>
        <item x="348"/>
        <item x="70"/>
        <item x="187"/>
        <item x="281"/>
        <item x="277"/>
        <item x="372"/>
        <item x="41"/>
        <item x="378"/>
        <item x="91"/>
        <item x="107"/>
        <item x="226"/>
        <item x="198"/>
        <item x="42"/>
        <item x="167"/>
        <item x="280"/>
        <item x="97"/>
        <item x="383"/>
        <item x="144"/>
        <item x="380"/>
        <item x="296"/>
        <item x="3"/>
        <item x="104"/>
        <item x="147"/>
        <item x="54"/>
        <item x="331"/>
        <item x="312"/>
        <item x="355"/>
        <item x="163"/>
        <item x="105"/>
        <item x="239"/>
        <item x="270"/>
        <item x="114"/>
        <item x="388"/>
        <item x="129"/>
        <item x="191"/>
        <item x="304"/>
        <item x="40"/>
        <item x="271"/>
        <item x="127"/>
        <item x="319"/>
        <item x="113"/>
        <item x="78"/>
        <item x="297"/>
        <item x="365"/>
        <item x="52"/>
        <item x="126"/>
        <item x="120"/>
        <item x="66"/>
        <item x="210"/>
        <item x="134"/>
        <item x="193"/>
        <item x="268"/>
        <item x="131"/>
        <item x="363"/>
        <item x="308"/>
        <item x="151"/>
        <item x="17"/>
        <item x="264"/>
        <item x="181"/>
        <item x="257"/>
        <item x="4"/>
        <item x="94"/>
        <item x="32"/>
        <item x="22"/>
        <item x="288"/>
        <item x="192"/>
        <item x="13"/>
        <item x="263"/>
        <item x="370"/>
        <item x="102"/>
        <item x="185"/>
        <item x="294"/>
        <item x="139"/>
        <item x="172"/>
        <item x="95"/>
        <item x="303"/>
        <item x="334"/>
        <item x="284"/>
        <item x="69"/>
        <item x="228"/>
        <item x="352"/>
        <item x="103"/>
        <item x="115"/>
        <item x="184"/>
        <item x="320"/>
        <item x="35"/>
        <item x="183"/>
        <item x="329"/>
        <item x="85"/>
        <item x="87"/>
        <item x="160"/>
        <item x="34"/>
        <item x="30"/>
        <item x="75"/>
        <item x="159"/>
        <item x="353"/>
        <item x="396"/>
        <item x="99"/>
        <item x="92"/>
        <item x="123"/>
        <item x="51"/>
        <item x="76"/>
        <item x="150"/>
        <item x="39"/>
        <item x="11"/>
        <item x="241"/>
        <item x="182"/>
        <item x="222"/>
        <item x="338"/>
        <item x="330"/>
        <item x="63"/>
        <item x="100"/>
        <item x="60"/>
        <item x="290"/>
        <item x="347"/>
        <item x="55"/>
        <item x="1"/>
        <item x="375"/>
        <item x="7"/>
        <item x="387"/>
        <item x="313"/>
        <item x="333"/>
        <item x="122"/>
        <item x="57"/>
        <item x="194"/>
        <item x="20"/>
        <item x="18"/>
        <item x="214"/>
        <item x="89"/>
        <item x="180"/>
        <item x="132"/>
        <item x="162"/>
        <item x="243"/>
        <item x="177"/>
        <item x="109"/>
        <item x="251"/>
        <item x="84"/>
        <item x="96"/>
        <item x="176"/>
        <item x="291"/>
        <item x="117"/>
        <item x="38"/>
        <item x="258"/>
        <item x="165"/>
        <item x="244"/>
        <item x="62"/>
        <item x="121"/>
        <item x="161"/>
        <item x="357"/>
        <item x="154"/>
        <item x="166"/>
        <item x="208"/>
        <item x="174"/>
        <item x="249"/>
        <item x="246"/>
        <item x="245"/>
        <item x="341"/>
        <item x="142"/>
        <item x="247"/>
        <item x="49"/>
        <item x="199"/>
        <item x="28"/>
        <item x="153"/>
        <item x="282"/>
        <item x="73"/>
        <item x="274"/>
        <item x="101"/>
        <item x="136"/>
        <item x="83"/>
        <item x="350"/>
        <item x="202"/>
        <item x="88"/>
        <item x="156"/>
        <item x="133"/>
        <item x="292"/>
        <item x="261"/>
        <item t="default"/>
      </items>
    </pivotField>
    <pivotField compact="0" numFmtId="165" outline="0" showAll="0"/>
    <pivotField compact="0" numFmtId="166" outline="0" showAll="0"/>
    <pivotField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9" baseField="0" baseItem="0" numFmtId="165"/>
  </dataFields>
  <formats count="6">
    <format dxfId="70">
      <pivotArea type="all" dataOnly="0" outline="0" fieldPosition="0"/>
    </format>
    <format dxfId="71">
      <pivotArea outline="0" collapsedLevelsAreSubtotals="1" fieldPosition="0"/>
    </format>
    <format dxfId="72">
      <pivotArea field="6" type="button" dataOnly="0" labelOnly="1" outline="0" axis="axisRow" fieldPosition="0"/>
    </format>
    <format dxfId="73">
      <pivotArea dataOnly="0" labelOnly="1" outline="0" fieldPosition="0">
        <references count="1">
          <reference field="6" count="0"/>
        </references>
      </pivotArea>
    </format>
    <format dxfId="74">
      <pivotArea dataOnly="0" labelOnly="1" grandRow="1" outline="0" fieldPosition="0"/>
    </format>
    <format dxfId="75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DE0EEC-CE3D-44A8-B74F-BDA43841E885}" name="PivotTable3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13">
    <pivotField axis="axisRow" compact="0" outline="0" showAll="0">
      <items count="8">
        <item x="1"/>
        <item x="3"/>
        <item x="5"/>
        <item x="2"/>
        <item x="4"/>
        <item x="0"/>
        <item h="1" x="6"/>
        <item t="default"/>
      </items>
    </pivotField>
    <pivotField compact="0" outline="0" showAll="0"/>
    <pivotField compact="0" outline="0" showAll="0"/>
    <pivotField compact="0" outline="0" showAll="0">
      <items count="7">
        <item x="3"/>
        <item x="2"/>
        <item x="4"/>
        <item x="1"/>
        <item x="0"/>
        <item x="5"/>
        <item t="default"/>
      </items>
    </pivotField>
    <pivotField compact="0" outline="0" showAll="0"/>
    <pivotField compact="0" outline="0" showAll="0"/>
    <pivotField compact="0" outline="0" showAll="0">
      <items count="8">
        <item x="4"/>
        <item x="3"/>
        <item x="1"/>
        <item x="2"/>
        <item x="0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443">
        <item x="409"/>
        <item x="312"/>
        <item x="164"/>
        <item x="172"/>
        <item x="176"/>
        <item x="44"/>
        <item x="216"/>
        <item x="318"/>
        <item x="230"/>
        <item x="304"/>
        <item x="355"/>
        <item x="332"/>
        <item x="344"/>
        <item x="300"/>
        <item x="152"/>
        <item x="114"/>
        <item x="179"/>
        <item x="238"/>
        <item x="96"/>
        <item x="367"/>
        <item x="57"/>
        <item x="0"/>
        <item x="252"/>
        <item x="207"/>
        <item x="31"/>
        <item x="251"/>
        <item x="162"/>
        <item x="201"/>
        <item x="368"/>
        <item x="438"/>
        <item x="419"/>
        <item x="24"/>
        <item x="314"/>
        <item x="33"/>
        <item x="363"/>
        <item x="384"/>
        <item x="340"/>
        <item x="75"/>
        <item x="316"/>
        <item x="50"/>
        <item x="339"/>
        <item x="336"/>
        <item x="6"/>
        <item x="294"/>
        <item x="422"/>
        <item x="279"/>
        <item x="327"/>
        <item x="59"/>
        <item x="26"/>
        <item x="222"/>
        <item x="280"/>
        <item x="366"/>
        <item x="383"/>
        <item x="229"/>
        <item x="405"/>
        <item x="391"/>
        <item x="387"/>
        <item x="16"/>
        <item x="413"/>
        <item x="218"/>
        <item x="118"/>
        <item x="378"/>
        <item x="62"/>
        <item x="305"/>
        <item x="287"/>
        <item x="231"/>
        <item x="240"/>
        <item x="433"/>
        <item x="124"/>
        <item x="418"/>
        <item x="293"/>
        <item x="241"/>
        <item x="9"/>
        <item x="78"/>
        <item x="414"/>
        <item x="416"/>
        <item x="159"/>
        <item x="171"/>
        <item x="228"/>
        <item x="85"/>
        <item x="365"/>
        <item x="407"/>
        <item x="43"/>
        <item x="258"/>
        <item x="411"/>
        <item x="54"/>
        <item x="220"/>
        <item x="134"/>
        <item x="14"/>
        <item x="76"/>
        <item x="385"/>
        <item x="214"/>
        <item x="315"/>
        <item x="398"/>
        <item x="185"/>
        <item x="105"/>
        <item x="390"/>
        <item x="225"/>
        <item x="15"/>
        <item x="335"/>
        <item x="12"/>
        <item x="139"/>
        <item x="10"/>
        <item x="376"/>
        <item x="5"/>
        <item x="426"/>
        <item x="71"/>
        <item x="143"/>
        <item x="285"/>
        <item x="236"/>
        <item x="439"/>
        <item x="215"/>
        <item x="19"/>
        <item x="37"/>
        <item x="302"/>
        <item x="301"/>
        <item x="133"/>
        <item x="262"/>
        <item x="25"/>
        <item x="199"/>
        <item x="347"/>
        <item x="328"/>
        <item x="267"/>
        <item x="369"/>
        <item x="264"/>
        <item x="203"/>
        <item x="154"/>
        <item x="406"/>
        <item x="181"/>
        <item x="81"/>
        <item x="45"/>
        <item x="116"/>
        <item x="47"/>
        <item x="254"/>
        <item x="72"/>
        <item x="151"/>
        <item x="206"/>
        <item x="237"/>
        <item x="346"/>
        <item x="70"/>
        <item x="404"/>
        <item x="257"/>
        <item x="120"/>
        <item x="196"/>
        <item x="144"/>
        <item x="8"/>
        <item x="227"/>
        <item x="286"/>
        <item x="67"/>
        <item x="89"/>
        <item x="244"/>
        <item x="223"/>
        <item x="260"/>
        <item x="48"/>
        <item x="429"/>
        <item x="320"/>
        <item x="425"/>
        <item x="188"/>
        <item x="282"/>
        <item x="289"/>
        <item x="431"/>
        <item x="128"/>
        <item x="60"/>
        <item x="393"/>
        <item x="334"/>
        <item x="246"/>
        <item x="69"/>
        <item x="46"/>
        <item x="243"/>
        <item x="437"/>
        <item x="36"/>
        <item x="265"/>
        <item x="424"/>
        <item x="83"/>
        <item x="249"/>
        <item x="86"/>
        <item x="65"/>
        <item x="281"/>
        <item x="41"/>
        <item x="239"/>
        <item x="353"/>
        <item x="377"/>
        <item x="132"/>
        <item x="330"/>
        <item x="200"/>
        <item x="100"/>
        <item x="221"/>
        <item x="417"/>
        <item x="259"/>
        <item x="421"/>
        <item x="357"/>
        <item x="187"/>
        <item x="434"/>
        <item x="219"/>
        <item x="277"/>
        <item x="165"/>
        <item x="146"/>
        <item x="55"/>
        <item x="177"/>
        <item x="84"/>
        <item x="119"/>
        <item x="149"/>
        <item x="364"/>
        <item x="435"/>
        <item x="358"/>
        <item x="402"/>
        <item x="208"/>
        <item x="182"/>
        <item x="308"/>
        <item x="115"/>
        <item x="397"/>
        <item x="123"/>
        <item x="210"/>
        <item x="410"/>
        <item x="27"/>
        <item x="42"/>
        <item x="247"/>
        <item x="307"/>
        <item x="147"/>
        <item x="2"/>
        <item x="291"/>
        <item x="104"/>
        <item x="29"/>
        <item x="209"/>
        <item x="178"/>
        <item x="198"/>
        <item x="97"/>
        <item x="253"/>
        <item x="255"/>
        <item x="235"/>
        <item x="271"/>
        <item x="113"/>
        <item x="155"/>
        <item x="394"/>
        <item x="122"/>
        <item x="352"/>
        <item x="66"/>
        <item x="94"/>
        <item x="248"/>
        <item x="427"/>
        <item x="430"/>
        <item x="423"/>
        <item x="233"/>
        <item x="319"/>
        <item x="399"/>
        <item x="380"/>
        <item x="261"/>
        <item x="245"/>
        <item x="137"/>
        <item x="370"/>
        <item x="4"/>
        <item x="101"/>
        <item x="23"/>
        <item x="234"/>
        <item x="283"/>
        <item x="349"/>
        <item x="374"/>
        <item x="53"/>
        <item x="325"/>
        <item x="274"/>
        <item x="74"/>
        <item x="112"/>
        <item x="373"/>
        <item x="381"/>
        <item x="338"/>
        <item x="98"/>
        <item x="195"/>
        <item x="190"/>
        <item x="156"/>
        <item x="354"/>
        <item x="107"/>
        <item x="333"/>
        <item x="297"/>
        <item x="138"/>
        <item x="82"/>
        <item x="388"/>
        <item x="309"/>
        <item x="428"/>
        <item x="386"/>
        <item x="197"/>
        <item x="3"/>
        <item x="400"/>
        <item x="127"/>
        <item x="135"/>
        <item x="310"/>
        <item x="436"/>
        <item x="306"/>
        <item x="175"/>
        <item x="298"/>
        <item x="322"/>
        <item x="102"/>
        <item x="329"/>
        <item x="317"/>
        <item x="21"/>
        <item x="91"/>
        <item x="191"/>
        <item x="263"/>
        <item x="180"/>
        <item x="313"/>
        <item x="17"/>
        <item x="372"/>
        <item x="92"/>
        <item x="242"/>
        <item x="11"/>
        <item x="408"/>
        <item x="64"/>
        <item x="158"/>
        <item x="290"/>
        <item x="360"/>
        <item x="331"/>
        <item x="61"/>
        <item x="192"/>
        <item x="110"/>
        <item x="351"/>
        <item x="153"/>
        <item x="39"/>
        <item x="142"/>
        <item x="337"/>
        <item x="129"/>
        <item x="30"/>
        <item x="40"/>
        <item x="79"/>
        <item x="121"/>
        <item x="348"/>
        <item x="170"/>
        <item x="362"/>
        <item x="150"/>
        <item x="99"/>
        <item x="32"/>
        <item x="224"/>
        <item x="415"/>
        <item x="80"/>
        <item x="204"/>
        <item x="34"/>
        <item x="157"/>
        <item x="342"/>
        <item x="111"/>
        <item x="371"/>
        <item x="292"/>
        <item x="194"/>
        <item x="326"/>
        <item x="205"/>
        <item x="299"/>
        <item x="226"/>
        <item x="22"/>
        <item x="440"/>
        <item x="136"/>
        <item x="106"/>
        <item x="432"/>
        <item x="296"/>
        <item x="13"/>
        <item x="68"/>
        <item x="256"/>
        <item x="343"/>
        <item x="145"/>
        <item x="126"/>
        <item x="52"/>
        <item x="184"/>
        <item x="193"/>
        <item x="90"/>
        <item x="266"/>
        <item x="73"/>
        <item x="420"/>
        <item x="250"/>
        <item x="272"/>
        <item x="108"/>
        <item x="167"/>
        <item x="125"/>
        <item x="392"/>
        <item x="321"/>
        <item x="389"/>
        <item x="140"/>
        <item x="1"/>
        <item x="63"/>
        <item x="20"/>
        <item x="35"/>
        <item x="396"/>
        <item x="7"/>
        <item x="166"/>
        <item x="232"/>
        <item x="213"/>
        <item x="395"/>
        <item x="295"/>
        <item x="375"/>
        <item x="131"/>
        <item x="341"/>
        <item x="379"/>
        <item x="186"/>
        <item x="18"/>
        <item x="278"/>
        <item x="361"/>
        <item x="95"/>
        <item x="88"/>
        <item x="189"/>
        <item x="103"/>
        <item x="323"/>
        <item x="38"/>
        <item x="56"/>
        <item x="284"/>
        <item x="183"/>
        <item x="117"/>
        <item x="173"/>
        <item x="58"/>
        <item x="130"/>
        <item x="169"/>
        <item x="168"/>
        <item x="268"/>
        <item x="77"/>
        <item x="403"/>
        <item x="202"/>
        <item x="303"/>
        <item x="276"/>
        <item x="269"/>
        <item x="270"/>
        <item x="356"/>
        <item x="401"/>
        <item x="93"/>
        <item x="212"/>
        <item x="350"/>
        <item x="275"/>
        <item x="273"/>
        <item x="412"/>
        <item x="359"/>
        <item x="345"/>
        <item x="49"/>
        <item x="109"/>
        <item x="211"/>
        <item x="174"/>
        <item x="148"/>
        <item x="311"/>
        <item x="161"/>
        <item x="382"/>
        <item x="160"/>
        <item x="28"/>
        <item x="51"/>
        <item x="87"/>
        <item x="217"/>
        <item x="288"/>
        <item x="163"/>
        <item x="141"/>
        <item x="324"/>
        <item x="441"/>
        <item t="default"/>
      </items>
    </pivotField>
    <pivotField compact="0" outline="0" showAll="0"/>
    <pivotField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perating Profit" fld="10" baseField="0" baseItem="0" numFmtId="167"/>
  </dataFields>
  <formats count="12">
    <format dxfId="58">
      <pivotArea type="all" dataOnly="0" outline="0" fieldPosition="0"/>
    </format>
    <format dxfId="59">
      <pivotArea outline="0" collapsedLevelsAreSubtotals="1" fieldPosition="0"/>
    </format>
    <format dxfId="60">
      <pivotArea field="0" type="button" dataOnly="0" labelOnly="1" outline="0" axis="axisRow" fieldPosition="0"/>
    </format>
    <format dxfId="61">
      <pivotArea dataOnly="0" labelOnly="1" outline="0" fieldPosition="0">
        <references count="1">
          <reference field="0" count="0"/>
        </references>
      </pivotArea>
    </format>
    <format dxfId="62">
      <pivotArea dataOnly="0" labelOnly="1" grandRow="1" outline="0" fieldPosition="0"/>
    </format>
    <format dxfId="63">
      <pivotArea dataOnly="0" labelOnly="1" outline="0" axis="axisValues" fieldPosition="0"/>
    </format>
    <format dxfId="64">
      <pivotArea type="all" dataOnly="0" outline="0" fieldPosition="0"/>
    </format>
    <format dxfId="65">
      <pivotArea outline="0" collapsedLevelsAreSubtotals="1" fieldPosition="0"/>
    </format>
    <format dxfId="66">
      <pivotArea field="0" type="button" dataOnly="0" labelOnly="1" outline="0" axis="axisRow" fieldPosition="0"/>
    </format>
    <format dxfId="67">
      <pivotArea dataOnly="0" labelOnly="1" outline="0" fieldPosition="0">
        <references count="1">
          <reference field="0" count="0"/>
        </references>
      </pivotArea>
    </format>
    <format dxfId="68">
      <pivotArea dataOnly="0" labelOnly="1" grandRow="1" outline="0" fieldPosition="0"/>
    </format>
    <format dxfId="69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90415-8307-49B0-8C47-F8372869D27F}" name="PivotTable1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4">
  <location ref="A3:B9" firstHeaderRow="1" firstDataRow="1" firstDataCol="1"/>
  <pivotFields count="13">
    <pivotField compact="0" outline="0" showAll="0">
      <items count="8">
        <item x="1"/>
        <item x="3"/>
        <item x="5"/>
        <item x="2"/>
        <item x="4"/>
        <item x="0"/>
        <item h="1" x="6"/>
        <item t="default"/>
      </items>
    </pivotField>
    <pivotField compact="0" outline="0" showAll="0"/>
    <pivotField compact="0" outline="0" showAll="0"/>
    <pivotField axis="axisRow" compact="0" outline="0" showAll="0">
      <items count="7">
        <item x="3"/>
        <item x="2"/>
        <item x="4"/>
        <item x="1"/>
        <item x="0"/>
        <item x="5"/>
        <item t="default"/>
      </items>
    </pivotField>
    <pivotField compact="0" outline="0" showAll="0"/>
    <pivotField compact="0" outline="0" showAll="0"/>
    <pivotField compact="0" outline="0" showAll="0">
      <items count="8">
        <item x="4"/>
        <item x="3"/>
        <item x="1"/>
        <item x="2"/>
        <item x="0"/>
        <item x="5"/>
        <item x="6"/>
        <item t="default"/>
      </items>
    </pivotField>
    <pivotField compact="0" outline="0" showAll="0"/>
    <pivotField dataField="1" compact="0" outline="0" showAll="0">
      <items count="186">
        <item x="110"/>
        <item x="176"/>
        <item x="178"/>
        <item x="157"/>
        <item x="87"/>
        <item x="123"/>
        <item x="137"/>
        <item x="24"/>
        <item x="169"/>
        <item x="148"/>
        <item x="26"/>
        <item x="103"/>
        <item x="41"/>
        <item x="171"/>
        <item x="162"/>
        <item x="144"/>
        <item x="108"/>
        <item x="165"/>
        <item x="177"/>
        <item x="130"/>
        <item x="78"/>
        <item x="175"/>
        <item x="16"/>
        <item x="6"/>
        <item x="31"/>
        <item x="166"/>
        <item x="14"/>
        <item x="19"/>
        <item x="61"/>
        <item x="170"/>
        <item x="152"/>
        <item x="62"/>
        <item x="50"/>
        <item x="12"/>
        <item x="33"/>
        <item x="15"/>
        <item x="9"/>
        <item x="150"/>
        <item x="179"/>
        <item x="101"/>
        <item x="47"/>
        <item x="55"/>
        <item x="129"/>
        <item x="105"/>
        <item x="36"/>
        <item x="88"/>
        <item x="0"/>
        <item x="122"/>
        <item x="174"/>
        <item x="43"/>
        <item x="89"/>
        <item x="127"/>
        <item x="131"/>
        <item x="135"/>
        <item x="42"/>
        <item x="132"/>
        <item x="80"/>
        <item x="58"/>
        <item x="139"/>
        <item x="118"/>
        <item x="27"/>
        <item x="138"/>
        <item x="140"/>
        <item x="67"/>
        <item x="57"/>
        <item x="25"/>
        <item x="100"/>
        <item x="73"/>
        <item x="49"/>
        <item x="79"/>
        <item x="96"/>
        <item x="60"/>
        <item x="173"/>
        <item x="115"/>
        <item x="2"/>
        <item x="97"/>
        <item x="153"/>
        <item x="154"/>
        <item x="145"/>
        <item x="93"/>
        <item x="10"/>
        <item x="142"/>
        <item x="106"/>
        <item x="8"/>
        <item x="3"/>
        <item x="91"/>
        <item x="70"/>
        <item x="40"/>
        <item x="183"/>
        <item x="181"/>
        <item x="102"/>
        <item x="155"/>
        <item x="68"/>
        <item x="107"/>
        <item x="59"/>
        <item x="125"/>
        <item x="5"/>
        <item x="64"/>
        <item x="113"/>
        <item x="117"/>
        <item x="124"/>
        <item x="136"/>
        <item x="23"/>
        <item x="54"/>
        <item x="39"/>
        <item x="120"/>
        <item x="119"/>
        <item x="38"/>
        <item x="111"/>
        <item x="182"/>
        <item x="86"/>
        <item x="56"/>
        <item x="133"/>
        <item x="29"/>
        <item x="17"/>
        <item x="121"/>
        <item x="92"/>
        <item x="21"/>
        <item x="69"/>
        <item x="94"/>
        <item x="22"/>
        <item x="158"/>
        <item x="74"/>
        <item x="168"/>
        <item x="32"/>
        <item x="75"/>
        <item x="147"/>
        <item x="167"/>
        <item x="149"/>
        <item x="99"/>
        <item x="90"/>
        <item x="4"/>
        <item x="163"/>
        <item x="112"/>
        <item x="85"/>
        <item x="104"/>
        <item x="172"/>
        <item x="84"/>
        <item x="65"/>
        <item x="156"/>
        <item x="13"/>
        <item x="164"/>
        <item x="161"/>
        <item x="35"/>
        <item x="51"/>
        <item x="134"/>
        <item x="45"/>
        <item x="180"/>
        <item x="11"/>
        <item x="34"/>
        <item x="82"/>
        <item x="37"/>
        <item x="30"/>
        <item x="7"/>
        <item x="46"/>
        <item x="53"/>
        <item x="81"/>
        <item x="95"/>
        <item x="66"/>
        <item x="72"/>
        <item x="18"/>
        <item x="1"/>
        <item x="20"/>
        <item x="159"/>
        <item x="77"/>
        <item x="48"/>
        <item x="52"/>
        <item x="83"/>
        <item x="114"/>
        <item x="44"/>
        <item x="146"/>
        <item x="28"/>
        <item x="151"/>
        <item x="116"/>
        <item x="143"/>
        <item x="76"/>
        <item x="126"/>
        <item x="128"/>
        <item x="63"/>
        <item x="71"/>
        <item x="141"/>
        <item x="109"/>
        <item x="98"/>
        <item x="160"/>
        <item x="184"/>
        <item t="default"/>
      </items>
    </pivotField>
    <pivotField compact="0" outline="0" showAll="0"/>
    <pivotField compact="0" outline="0" showAll="0">
      <items count="443">
        <item x="409"/>
        <item x="312"/>
        <item x="164"/>
        <item x="172"/>
        <item x="176"/>
        <item x="44"/>
        <item x="216"/>
        <item x="318"/>
        <item x="230"/>
        <item x="304"/>
        <item x="355"/>
        <item x="332"/>
        <item x="344"/>
        <item x="300"/>
        <item x="152"/>
        <item x="114"/>
        <item x="179"/>
        <item x="238"/>
        <item x="96"/>
        <item x="367"/>
        <item x="57"/>
        <item x="0"/>
        <item x="252"/>
        <item x="207"/>
        <item x="31"/>
        <item x="251"/>
        <item x="162"/>
        <item x="201"/>
        <item x="368"/>
        <item x="438"/>
        <item x="419"/>
        <item x="24"/>
        <item x="314"/>
        <item x="33"/>
        <item x="363"/>
        <item x="384"/>
        <item x="340"/>
        <item x="75"/>
        <item x="316"/>
        <item x="50"/>
        <item x="339"/>
        <item x="336"/>
        <item x="6"/>
        <item x="294"/>
        <item x="422"/>
        <item x="279"/>
        <item x="327"/>
        <item x="59"/>
        <item x="26"/>
        <item x="222"/>
        <item x="280"/>
        <item x="366"/>
        <item x="383"/>
        <item x="229"/>
        <item x="405"/>
        <item x="391"/>
        <item x="387"/>
        <item x="16"/>
        <item x="413"/>
        <item x="218"/>
        <item x="118"/>
        <item x="378"/>
        <item x="62"/>
        <item x="305"/>
        <item x="287"/>
        <item x="231"/>
        <item x="240"/>
        <item x="433"/>
        <item x="124"/>
        <item x="418"/>
        <item x="293"/>
        <item x="241"/>
        <item x="9"/>
        <item x="78"/>
        <item x="414"/>
        <item x="416"/>
        <item x="159"/>
        <item x="171"/>
        <item x="228"/>
        <item x="85"/>
        <item x="365"/>
        <item x="407"/>
        <item x="43"/>
        <item x="258"/>
        <item x="411"/>
        <item x="54"/>
        <item x="220"/>
        <item x="134"/>
        <item x="14"/>
        <item x="76"/>
        <item x="385"/>
        <item x="214"/>
        <item x="315"/>
        <item x="398"/>
        <item x="185"/>
        <item x="105"/>
        <item x="390"/>
        <item x="225"/>
        <item x="15"/>
        <item x="335"/>
        <item x="12"/>
        <item x="139"/>
        <item x="10"/>
        <item x="376"/>
        <item x="5"/>
        <item x="426"/>
        <item x="71"/>
        <item x="143"/>
        <item x="285"/>
        <item x="236"/>
        <item x="439"/>
        <item x="215"/>
        <item x="19"/>
        <item x="37"/>
        <item x="302"/>
        <item x="301"/>
        <item x="133"/>
        <item x="262"/>
        <item x="25"/>
        <item x="199"/>
        <item x="347"/>
        <item x="328"/>
        <item x="267"/>
        <item x="369"/>
        <item x="264"/>
        <item x="203"/>
        <item x="154"/>
        <item x="406"/>
        <item x="181"/>
        <item x="81"/>
        <item x="45"/>
        <item x="116"/>
        <item x="47"/>
        <item x="254"/>
        <item x="72"/>
        <item x="151"/>
        <item x="206"/>
        <item x="237"/>
        <item x="346"/>
        <item x="70"/>
        <item x="404"/>
        <item x="257"/>
        <item x="120"/>
        <item x="196"/>
        <item x="144"/>
        <item x="8"/>
        <item x="227"/>
        <item x="286"/>
        <item x="67"/>
        <item x="89"/>
        <item x="244"/>
        <item x="223"/>
        <item x="260"/>
        <item x="48"/>
        <item x="429"/>
        <item x="320"/>
        <item x="425"/>
        <item x="188"/>
        <item x="282"/>
        <item x="289"/>
        <item x="431"/>
        <item x="128"/>
        <item x="60"/>
        <item x="393"/>
        <item x="334"/>
        <item x="246"/>
        <item x="69"/>
        <item x="46"/>
        <item x="243"/>
        <item x="437"/>
        <item x="36"/>
        <item x="265"/>
        <item x="424"/>
        <item x="83"/>
        <item x="249"/>
        <item x="86"/>
        <item x="65"/>
        <item x="281"/>
        <item x="41"/>
        <item x="239"/>
        <item x="353"/>
        <item x="377"/>
        <item x="132"/>
        <item x="330"/>
        <item x="200"/>
        <item x="100"/>
        <item x="221"/>
        <item x="417"/>
        <item x="259"/>
        <item x="421"/>
        <item x="357"/>
        <item x="187"/>
        <item x="434"/>
        <item x="219"/>
        <item x="277"/>
        <item x="165"/>
        <item x="146"/>
        <item x="55"/>
        <item x="177"/>
        <item x="84"/>
        <item x="119"/>
        <item x="149"/>
        <item x="364"/>
        <item x="435"/>
        <item x="358"/>
        <item x="402"/>
        <item x="208"/>
        <item x="182"/>
        <item x="308"/>
        <item x="115"/>
        <item x="397"/>
        <item x="123"/>
        <item x="210"/>
        <item x="410"/>
        <item x="27"/>
        <item x="42"/>
        <item x="247"/>
        <item x="307"/>
        <item x="147"/>
        <item x="2"/>
        <item x="291"/>
        <item x="104"/>
        <item x="29"/>
        <item x="209"/>
        <item x="178"/>
        <item x="198"/>
        <item x="97"/>
        <item x="253"/>
        <item x="255"/>
        <item x="235"/>
        <item x="271"/>
        <item x="113"/>
        <item x="155"/>
        <item x="394"/>
        <item x="122"/>
        <item x="352"/>
        <item x="66"/>
        <item x="94"/>
        <item x="248"/>
        <item x="427"/>
        <item x="430"/>
        <item x="423"/>
        <item x="233"/>
        <item x="319"/>
        <item x="399"/>
        <item x="380"/>
        <item x="261"/>
        <item x="245"/>
        <item x="137"/>
        <item x="370"/>
        <item x="4"/>
        <item x="101"/>
        <item x="23"/>
        <item x="234"/>
        <item x="283"/>
        <item x="349"/>
        <item x="374"/>
        <item x="53"/>
        <item x="325"/>
        <item x="274"/>
        <item x="74"/>
        <item x="112"/>
        <item x="373"/>
        <item x="381"/>
        <item x="338"/>
        <item x="98"/>
        <item x="195"/>
        <item x="190"/>
        <item x="156"/>
        <item x="354"/>
        <item x="107"/>
        <item x="333"/>
        <item x="297"/>
        <item x="138"/>
        <item x="82"/>
        <item x="388"/>
        <item x="309"/>
        <item x="428"/>
        <item x="386"/>
        <item x="197"/>
        <item x="3"/>
        <item x="400"/>
        <item x="127"/>
        <item x="135"/>
        <item x="310"/>
        <item x="436"/>
        <item x="306"/>
        <item x="175"/>
        <item x="298"/>
        <item x="322"/>
        <item x="102"/>
        <item x="329"/>
        <item x="317"/>
        <item x="21"/>
        <item x="91"/>
        <item x="191"/>
        <item x="263"/>
        <item x="180"/>
        <item x="313"/>
        <item x="17"/>
        <item x="372"/>
        <item x="92"/>
        <item x="242"/>
        <item x="11"/>
        <item x="408"/>
        <item x="64"/>
        <item x="158"/>
        <item x="290"/>
        <item x="360"/>
        <item x="331"/>
        <item x="61"/>
        <item x="192"/>
        <item x="110"/>
        <item x="351"/>
        <item x="153"/>
        <item x="39"/>
        <item x="142"/>
        <item x="337"/>
        <item x="129"/>
        <item x="30"/>
        <item x="40"/>
        <item x="79"/>
        <item x="121"/>
        <item x="348"/>
        <item x="170"/>
        <item x="362"/>
        <item x="150"/>
        <item x="99"/>
        <item x="32"/>
        <item x="224"/>
        <item x="415"/>
        <item x="80"/>
        <item x="204"/>
        <item x="34"/>
        <item x="157"/>
        <item x="342"/>
        <item x="111"/>
        <item x="371"/>
        <item x="292"/>
        <item x="194"/>
        <item x="326"/>
        <item x="205"/>
        <item x="299"/>
        <item x="226"/>
        <item x="22"/>
        <item x="440"/>
        <item x="136"/>
        <item x="106"/>
        <item x="432"/>
        <item x="296"/>
        <item x="13"/>
        <item x="68"/>
        <item x="256"/>
        <item x="343"/>
        <item x="145"/>
        <item x="126"/>
        <item x="52"/>
        <item x="184"/>
        <item x="193"/>
        <item x="90"/>
        <item x="266"/>
        <item x="73"/>
        <item x="420"/>
        <item x="250"/>
        <item x="272"/>
        <item x="108"/>
        <item x="167"/>
        <item x="125"/>
        <item x="392"/>
        <item x="321"/>
        <item x="389"/>
        <item x="140"/>
        <item x="1"/>
        <item x="63"/>
        <item x="20"/>
        <item x="35"/>
        <item x="396"/>
        <item x="7"/>
        <item x="166"/>
        <item x="232"/>
        <item x="213"/>
        <item x="395"/>
        <item x="295"/>
        <item x="375"/>
        <item x="131"/>
        <item x="341"/>
        <item x="379"/>
        <item x="186"/>
        <item x="18"/>
        <item x="278"/>
        <item x="361"/>
        <item x="95"/>
        <item x="88"/>
        <item x="189"/>
        <item x="103"/>
        <item x="323"/>
        <item x="38"/>
        <item x="56"/>
        <item x="284"/>
        <item x="183"/>
        <item x="117"/>
        <item x="173"/>
        <item x="58"/>
        <item x="130"/>
        <item x="169"/>
        <item x="168"/>
        <item x="268"/>
        <item x="77"/>
        <item x="403"/>
        <item x="202"/>
        <item x="303"/>
        <item x="276"/>
        <item x="269"/>
        <item x="270"/>
        <item x="356"/>
        <item x="401"/>
        <item x="93"/>
        <item x="212"/>
        <item x="350"/>
        <item x="275"/>
        <item x="273"/>
        <item x="412"/>
        <item x="359"/>
        <item x="345"/>
        <item x="49"/>
        <item x="109"/>
        <item x="211"/>
        <item x="174"/>
        <item x="148"/>
        <item x="311"/>
        <item x="161"/>
        <item x="382"/>
        <item x="160"/>
        <item x="28"/>
        <item x="51"/>
        <item x="87"/>
        <item x="217"/>
        <item x="288"/>
        <item x="163"/>
        <item x="141"/>
        <item x="324"/>
        <item x="441"/>
        <item t="default"/>
      </items>
    </pivotField>
    <pivotField compact="0" outline="0" showAll="0"/>
    <pivotField compact="0" outline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 Sold" fld="8" baseField="0" baseItem="0"/>
  </dataFields>
  <formats count="10">
    <format dxfId="48">
      <pivotArea field="3" type="button" dataOnly="0" labelOnly="1" outline="0" axis="axisRow" fieldPosition="0"/>
    </format>
    <format dxfId="49">
      <pivotArea dataOnly="0" labelOnly="1" grandRow="1" outline="0" fieldPosition="0"/>
    </format>
    <format dxfId="50">
      <pivotArea outline="0" collapsedLevelsAreSubtotals="1" fieldPosition="0"/>
    </format>
    <format dxfId="51">
      <pivotArea dataOnly="0" labelOnly="1" outline="0" axis="axisValues" fieldPosition="0"/>
    </format>
    <format dxfId="52">
      <pivotArea type="all" dataOnly="0" outline="0" fieldPosition="0"/>
    </format>
    <format dxfId="53">
      <pivotArea outline="0" collapsedLevelsAreSubtotals="1" fieldPosition="0"/>
    </format>
    <format dxfId="54">
      <pivotArea field="3" type="button" dataOnly="0" labelOnly="1" outline="0" axis="axisRow" fieldPosition="0"/>
    </format>
    <format dxfId="55">
      <pivotArea dataOnly="0" labelOnly="1" outline="0" fieldPosition="0">
        <references count="1">
          <reference field="3" count="0"/>
        </references>
      </pivotArea>
    </format>
    <format dxfId="56">
      <pivotArea dataOnly="0" labelOnly="1" grandRow="1" outline="0" fieldPosition="0"/>
    </format>
    <format dxfId="57">
      <pivotArea dataOnly="0" labelOnly="1" outline="0" axis="axisValues" fieldPosition="0"/>
    </format>
  </format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6BD3C-AA0F-4C6F-ADA0-D401908331B1}" name="PivotTable2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2">
  <location ref="A3:B62" firstHeaderRow="1" firstDataRow="1" firstDataCol="1"/>
  <pivotFields count="13">
    <pivotField compact="0" outline="0" showAll="0">
      <items count="8">
        <item x="1"/>
        <item x="3"/>
        <item x="5"/>
        <item x="2"/>
        <item x="4"/>
        <item x="0"/>
        <item h="1" x="6"/>
        <item t="default"/>
      </items>
    </pivotField>
    <pivotField compact="0" outline="0" showAll="0"/>
    <pivotField compact="0" outline="0" showAll="0"/>
    <pivotField compact="0" outline="0" showAll="0">
      <items count="7">
        <item x="3"/>
        <item x="2"/>
        <item x="4"/>
        <item x="1"/>
        <item x="0"/>
        <item x="5"/>
        <item t="default"/>
      </items>
    </pivotField>
    <pivotField compact="0" outline="0" showAll="0"/>
    <pivotField compact="0" outline="0" showAll="0"/>
    <pivotField compact="0" outline="0" showAll="0">
      <items count="8">
        <item x="4"/>
        <item x="3"/>
        <item x="1"/>
        <item x="2"/>
        <item x="0"/>
        <item x="5"/>
        <item x="6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>
      <items count="443">
        <item x="409"/>
        <item x="312"/>
        <item x="164"/>
        <item x="172"/>
        <item x="176"/>
        <item x="44"/>
        <item x="216"/>
        <item x="318"/>
        <item x="230"/>
        <item x="304"/>
        <item x="355"/>
        <item x="332"/>
        <item x="344"/>
        <item x="300"/>
        <item x="152"/>
        <item x="114"/>
        <item x="179"/>
        <item x="238"/>
        <item x="96"/>
        <item x="367"/>
        <item x="57"/>
        <item x="0"/>
        <item x="252"/>
        <item x="207"/>
        <item x="31"/>
        <item x="251"/>
        <item x="162"/>
        <item x="201"/>
        <item x="368"/>
        <item x="438"/>
        <item x="419"/>
        <item x="24"/>
        <item x="314"/>
        <item x="33"/>
        <item x="363"/>
        <item x="384"/>
        <item x="340"/>
        <item x="75"/>
        <item x="316"/>
        <item x="50"/>
        <item x="339"/>
        <item x="336"/>
        <item x="6"/>
        <item x="294"/>
        <item x="422"/>
        <item x="279"/>
        <item x="327"/>
        <item x="59"/>
        <item x="26"/>
        <item x="222"/>
        <item x="280"/>
        <item x="366"/>
        <item x="383"/>
        <item x="229"/>
        <item x="405"/>
        <item x="391"/>
        <item x="387"/>
        <item x="16"/>
        <item x="413"/>
        <item x="218"/>
        <item x="118"/>
        <item x="378"/>
        <item x="62"/>
        <item x="305"/>
        <item x="287"/>
        <item x="231"/>
        <item x="240"/>
        <item x="433"/>
        <item x="124"/>
        <item x="418"/>
        <item x="293"/>
        <item x="241"/>
        <item x="9"/>
        <item x="78"/>
        <item x="414"/>
        <item x="416"/>
        <item x="159"/>
        <item x="171"/>
        <item x="228"/>
        <item x="85"/>
        <item x="365"/>
        <item x="407"/>
        <item x="43"/>
        <item x="258"/>
        <item x="411"/>
        <item x="54"/>
        <item x="220"/>
        <item x="134"/>
        <item x="14"/>
        <item x="76"/>
        <item x="385"/>
        <item x="214"/>
        <item x="315"/>
        <item x="398"/>
        <item x="185"/>
        <item x="105"/>
        <item x="390"/>
        <item x="225"/>
        <item x="15"/>
        <item x="335"/>
        <item x="12"/>
        <item x="139"/>
        <item x="10"/>
        <item x="376"/>
        <item x="5"/>
        <item x="426"/>
        <item x="71"/>
        <item x="143"/>
        <item x="285"/>
        <item x="236"/>
        <item x="439"/>
        <item x="215"/>
        <item x="19"/>
        <item x="37"/>
        <item x="302"/>
        <item x="301"/>
        <item x="133"/>
        <item x="262"/>
        <item x="25"/>
        <item x="199"/>
        <item x="347"/>
        <item x="328"/>
        <item x="267"/>
        <item x="369"/>
        <item x="264"/>
        <item x="203"/>
        <item x="154"/>
        <item x="406"/>
        <item x="181"/>
        <item x="81"/>
        <item x="45"/>
        <item x="116"/>
        <item x="47"/>
        <item x="254"/>
        <item x="72"/>
        <item x="151"/>
        <item x="206"/>
        <item x="237"/>
        <item x="346"/>
        <item x="70"/>
        <item x="404"/>
        <item x="257"/>
        <item x="120"/>
        <item x="196"/>
        <item x="144"/>
        <item x="8"/>
        <item x="227"/>
        <item x="286"/>
        <item x="67"/>
        <item x="89"/>
        <item x="244"/>
        <item x="223"/>
        <item x="260"/>
        <item x="48"/>
        <item x="429"/>
        <item x="320"/>
        <item x="425"/>
        <item x="188"/>
        <item x="282"/>
        <item x="289"/>
        <item x="431"/>
        <item x="128"/>
        <item x="60"/>
        <item x="393"/>
        <item x="334"/>
        <item x="246"/>
        <item x="69"/>
        <item x="46"/>
        <item x="243"/>
        <item x="437"/>
        <item x="36"/>
        <item x="265"/>
        <item x="424"/>
        <item x="83"/>
        <item x="249"/>
        <item x="86"/>
        <item x="65"/>
        <item x="281"/>
        <item x="41"/>
        <item x="239"/>
        <item x="353"/>
        <item x="377"/>
        <item x="132"/>
        <item x="330"/>
        <item x="200"/>
        <item x="100"/>
        <item x="221"/>
        <item x="417"/>
        <item x="259"/>
        <item x="421"/>
        <item x="357"/>
        <item x="187"/>
        <item x="434"/>
        <item x="219"/>
        <item x="277"/>
        <item x="165"/>
        <item x="146"/>
        <item x="55"/>
        <item x="177"/>
        <item x="84"/>
        <item x="119"/>
        <item x="149"/>
        <item x="364"/>
        <item x="435"/>
        <item x="358"/>
        <item x="402"/>
        <item x="208"/>
        <item x="182"/>
        <item x="308"/>
        <item x="115"/>
        <item x="397"/>
        <item x="123"/>
        <item x="210"/>
        <item x="410"/>
        <item x="27"/>
        <item x="42"/>
        <item x="247"/>
        <item x="307"/>
        <item x="147"/>
        <item x="2"/>
        <item x="291"/>
        <item x="104"/>
        <item x="29"/>
        <item x="209"/>
        <item x="178"/>
        <item x="198"/>
        <item x="97"/>
        <item x="253"/>
        <item x="255"/>
        <item x="235"/>
        <item x="271"/>
        <item x="113"/>
        <item x="155"/>
        <item x="394"/>
        <item x="122"/>
        <item x="352"/>
        <item x="66"/>
        <item x="94"/>
        <item x="248"/>
        <item x="427"/>
        <item x="430"/>
        <item x="423"/>
        <item x="233"/>
        <item x="319"/>
        <item x="399"/>
        <item x="380"/>
        <item x="261"/>
        <item x="245"/>
        <item x="137"/>
        <item x="370"/>
        <item x="4"/>
        <item x="101"/>
        <item x="23"/>
        <item x="234"/>
        <item x="283"/>
        <item x="349"/>
        <item x="374"/>
        <item x="53"/>
        <item x="325"/>
        <item x="274"/>
        <item x="74"/>
        <item x="112"/>
        <item x="373"/>
        <item x="381"/>
        <item x="338"/>
        <item x="98"/>
        <item x="195"/>
        <item x="190"/>
        <item x="156"/>
        <item x="354"/>
        <item x="107"/>
        <item x="333"/>
        <item x="297"/>
        <item x="138"/>
        <item x="82"/>
        <item x="388"/>
        <item x="309"/>
        <item x="428"/>
        <item x="386"/>
        <item x="197"/>
        <item x="3"/>
        <item x="400"/>
        <item x="127"/>
        <item x="135"/>
        <item x="310"/>
        <item x="436"/>
        <item x="306"/>
        <item x="175"/>
        <item x="298"/>
        <item x="322"/>
        <item x="102"/>
        <item x="329"/>
        <item x="317"/>
        <item x="21"/>
        <item x="91"/>
        <item x="191"/>
        <item x="263"/>
        <item x="180"/>
        <item x="313"/>
        <item x="17"/>
        <item x="372"/>
        <item x="92"/>
        <item x="242"/>
        <item x="11"/>
        <item x="408"/>
        <item x="64"/>
        <item x="158"/>
        <item x="290"/>
        <item x="360"/>
        <item x="331"/>
        <item x="61"/>
        <item x="192"/>
        <item x="110"/>
        <item x="351"/>
        <item x="153"/>
        <item x="39"/>
        <item x="142"/>
        <item x="337"/>
        <item x="129"/>
        <item x="30"/>
        <item x="40"/>
        <item x="79"/>
        <item x="121"/>
        <item x="348"/>
        <item x="170"/>
        <item x="362"/>
        <item x="150"/>
        <item x="99"/>
        <item x="32"/>
        <item x="224"/>
        <item x="415"/>
        <item x="80"/>
        <item x="204"/>
        <item x="34"/>
        <item x="157"/>
        <item x="342"/>
        <item x="111"/>
        <item x="371"/>
        <item x="292"/>
        <item x="194"/>
        <item x="326"/>
        <item x="205"/>
        <item x="299"/>
        <item x="226"/>
        <item x="22"/>
        <item x="440"/>
        <item x="136"/>
        <item x="106"/>
        <item x="432"/>
        <item x="296"/>
        <item x="13"/>
        <item x="68"/>
        <item x="256"/>
        <item x="343"/>
        <item x="145"/>
        <item x="126"/>
        <item x="52"/>
        <item x="184"/>
        <item x="193"/>
        <item x="90"/>
        <item x="266"/>
        <item x="73"/>
        <item x="420"/>
        <item x="250"/>
        <item x="272"/>
        <item x="108"/>
        <item x="167"/>
        <item x="125"/>
        <item x="392"/>
        <item x="321"/>
        <item x="389"/>
        <item x="140"/>
        <item x="1"/>
        <item x="63"/>
        <item x="20"/>
        <item x="35"/>
        <item x="396"/>
        <item x="7"/>
        <item x="166"/>
        <item x="232"/>
        <item x="213"/>
        <item x="395"/>
        <item x="295"/>
        <item x="375"/>
        <item x="131"/>
        <item x="341"/>
        <item x="379"/>
        <item x="186"/>
        <item x="18"/>
        <item x="278"/>
        <item x="361"/>
        <item x="95"/>
        <item x="88"/>
        <item x="189"/>
        <item x="103"/>
        <item x="323"/>
        <item x="38"/>
        <item x="56"/>
        <item x="284"/>
        <item x="183"/>
        <item x="117"/>
        <item x="173"/>
        <item x="58"/>
        <item x="130"/>
        <item x="169"/>
        <item x="168"/>
        <item x="268"/>
        <item x="77"/>
        <item x="403"/>
        <item x="202"/>
        <item x="303"/>
        <item x="276"/>
        <item x="269"/>
        <item x="270"/>
        <item x="356"/>
        <item x="401"/>
        <item x="93"/>
        <item x="212"/>
        <item x="350"/>
        <item x="275"/>
        <item x="273"/>
        <item x="412"/>
        <item x="359"/>
        <item x="345"/>
        <item x="49"/>
        <item x="109"/>
        <item x="211"/>
        <item x="174"/>
        <item x="148"/>
        <item x="311"/>
        <item x="161"/>
        <item x="382"/>
        <item x="160"/>
        <item x="28"/>
        <item x="51"/>
        <item x="87"/>
        <item x="217"/>
        <item x="288"/>
        <item x="163"/>
        <item x="141"/>
        <item x="324"/>
        <item x="441"/>
        <item t="default"/>
      </items>
    </pivotField>
    <pivotField axis="axisRow" compact="0" outline="0" subtotalTop="0" showAll="0">
      <items count="60">
        <item x="39"/>
        <item x="48"/>
        <item x="34"/>
        <item x="37"/>
        <item x="25"/>
        <item x="46"/>
        <item x="55"/>
        <item x="6"/>
        <item x="36"/>
        <item x="3"/>
        <item x="7"/>
        <item x="35"/>
        <item x="33"/>
        <item x="29"/>
        <item x="13"/>
        <item x="30"/>
        <item x="41"/>
        <item x="28"/>
        <item x="5"/>
        <item x="1"/>
        <item x="11"/>
        <item x="0"/>
        <item x="21"/>
        <item x="27"/>
        <item x="17"/>
        <item x="47"/>
        <item x="26"/>
        <item x="4"/>
        <item x="2"/>
        <item x="10"/>
        <item x="19"/>
        <item x="18"/>
        <item x="12"/>
        <item x="9"/>
        <item x="44"/>
        <item x="24"/>
        <item x="15"/>
        <item x="52"/>
        <item x="16"/>
        <item x="8"/>
        <item x="23"/>
        <item x="45"/>
        <item x="43"/>
        <item x="38"/>
        <item x="49"/>
        <item x="50"/>
        <item x="32"/>
        <item x="51"/>
        <item x="22"/>
        <item x="20"/>
        <item x="14"/>
        <item x="40"/>
        <item x="54"/>
        <item x="31"/>
        <item x="57"/>
        <item x="53"/>
        <item x="56"/>
        <item x="42"/>
        <item h="1" x="58"/>
        <item t="default"/>
      </items>
    </pivotField>
    <pivotField compact="0" outline="0" showAll="0"/>
  </pivotFields>
  <rowFields count="1">
    <field x="11"/>
  </rowFields>
  <rowItems count="5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 t="grand">
      <x/>
    </i>
  </rowItems>
  <colItems count="1">
    <i/>
  </colItems>
  <dataFields count="1">
    <dataField name="Sum of Operating Profit" fld="10" baseField="0" baseItem="0" numFmtId="167"/>
  </dataFields>
  <formats count="6">
    <format dxfId="42">
      <pivotArea outline="0" collapsedLevelsAreSubtotals="1" fieldPosition="0"/>
    </format>
    <format dxfId="43">
      <pivotArea dataOnly="0" labelOnly="1" outline="0" axis="axisValues" fieldPosition="0"/>
    </format>
    <format dxfId="44">
      <pivotArea field="11" type="button" dataOnly="0" labelOnly="1" outline="0" axis="axisRow" fieldPosition="0"/>
    </format>
    <format dxfId="45">
      <pivotArea dataOnly="0" labelOnly="1" outline="0" fieldPosition="0">
        <references count="1">
          <reference field="1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6">
      <pivotArea dataOnly="0" labelOnly="1" outline="0" fieldPosition="0">
        <references count="1">
          <reference field="11" count="9">
            <x v="50"/>
            <x v="51"/>
            <x v="52"/>
            <x v="53"/>
            <x v="54"/>
            <x v="55"/>
            <x v="56"/>
            <x v="57"/>
            <x v="58"/>
          </reference>
        </references>
      </pivotArea>
    </format>
    <format dxfId="47">
      <pivotArea field="11" type="button" dataOnly="0" labelOnly="1" outline="0" axis="axisRow" fieldPosition="0"/>
    </format>
  </formats>
  <chartFormats count="594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2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2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2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12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2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12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2"/>
          </reference>
        </references>
      </pivotArea>
    </chartFormat>
    <chartFormat chart="12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4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6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  <chartFormat chart="12" format="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8"/>
          </reference>
        </references>
      </pivotArea>
    </chartFormat>
    <chartFormat chart="12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9"/>
          </reference>
        </references>
      </pivotArea>
    </chartFormat>
    <chartFormat chart="12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12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12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2"/>
          </reference>
        </references>
      </pivotArea>
    </chartFormat>
    <chartFormat chart="12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  <chartFormat chart="12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12" format="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5"/>
          </reference>
        </references>
      </pivotArea>
    </chartFormat>
    <chartFormat chart="12" format="3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6"/>
          </reference>
        </references>
      </pivotArea>
    </chartFormat>
    <chartFormat chart="12" format="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  <chartFormat chart="12" format="4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8"/>
          </reference>
        </references>
      </pivotArea>
    </chartFormat>
    <chartFormat chart="12" format="4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9"/>
          </reference>
        </references>
      </pivotArea>
    </chartFormat>
    <chartFormat chart="12" format="4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0"/>
          </reference>
        </references>
      </pivotArea>
    </chartFormat>
    <chartFormat chart="12" format="4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  <chartFormat chart="12" format="4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2"/>
          </reference>
        </references>
      </pivotArea>
    </chartFormat>
    <chartFormat chart="12" format="4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3"/>
          </reference>
        </references>
      </pivotArea>
    </chartFormat>
    <chartFormat chart="12" format="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4"/>
          </reference>
        </references>
      </pivotArea>
    </chartFormat>
    <chartFormat chart="12" format="4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5"/>
          </reference>
        </references>
      </pivotArea>
    </chartFormat>
    <chartFormat chart="12" format="4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6"/>
          </reference>
        </references>
      </pivotArea>
    </chartFormat>
    <chartFormat chart="12" format="4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7"/>
          </reference>
        </references>
      </pivotArea>
    </chartFormat>
    <chartFormat chart="12" format="5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8"/>
          </reference>
        </references>
      </pivotArea>
    </chartFormat>
    <chartFormat chart="12" format="5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9"/>
          </reference>
        </references>
      </pivotArea>
    </chartFormat>
    <chartFormat chart="12" format="5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0"/>
          </reference>
        </references>
      </pivotArea>
    </chartFormat>
    <chartFormat chart="12" format="5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1"/>
          </reference>
        </references>
      </pivotArea>
    </chartFormat>
    <chartFormat chart="12" format="5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2"/>
          </reference>
        </references>
      </pivotArea>
    </chartFormat>
    <chartFormat chart="12" format="5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3"/>
          </reference>
        </references>
      </pivotArea>
    </chartFormat>
    <chartFormat chart="12" format="5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4"/>
          </reference>
        </references>
      </pivotArea>
    </chartFormat>
    <chartFormat chart="12" format="5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5"/>
          </reference>
        </references>
      </pivotArea>
    </chartFormat>
    <chartFormat chart="12" format="5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6"/>
          </reference>
        </references>
      </pivotArea>
    </chartFormat>
    <chartFormat chart="12" format="5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7"/>
          </reference>
        </references>
      </pivotArea>
    </chartFormat>
    <chartFormat chart="12" format="60">
      <pivotArea type="data" outline="0" fieldPosition="0">
        <references count="2">
          <reference field="4294967294" count="1" selected="0">
            <x v="0"/>
          </reference>
          <reference field="11" count="1" selected="0">
            <x v="58"/>
          </reference>
        </references>
      </pivotArea>
    </chartFormat>
    <chartFormat chart="13" format="6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6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3" format="6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3" format="6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3" format="6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3" format="6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3" format="6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3" format="68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3" format="69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3" format="70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3" format="7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3" format="7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3" format="7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3" format="7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13" format="7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13" format="7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3" format="7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13" format="7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13" format="7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13" format="8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3" format="8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13" format="8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3" format="8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13" format="8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2"/>
          </reference>
        </references>
      </pivotArea>
    </chartFormat>
    <chartFormat chart="13" format="8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13" format="8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4"/>
          </reference>
        </references>
      </pivotArea>
    </chartFormat>
    <chartFormat chart="13" format="8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13" format="8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6"/>
          </reference>
        </references>
      </pivotArea>
    </chartFormat>
    <chartFormat chart="13" format="8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  <chartFormat chart="13" format="9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8"/>
          </reference>
        </references>
      </pivotArea>
    </chartFormat>
    <chartFormat chart="13" format="9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9"/>
          </reference>
        </references>
      </pivotArea>
    </chartFormat>
    <chartFormat chart="13" format="9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13" format="9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13" format="9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2"/>
          </reference>
        </references>
      </pivotArea>
    </chartFormat>
    <chartFormat chart="13" format="9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  <chartFormat chart="13" format="9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13" format="9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5"/>
          </reference>
        </references>
      </pivotArea>
    </chartFormat>
    <chartFormat chart="13" format="9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6"/>
          </reference>
        </references>
      </pivotArea>
    </chartFormat>
    <chartFormat chart="13" format="9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  <chartFormat chart="13" format="10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8"/>
          </reference>
        </references>
      </pivotArea>
    </chartFormat>
    <chartFormat chart="13" format="10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9"/>
          </reference>
        </references>
      </pivotArea>
    </chartFormat>
    <chartFormat chart="13" format="10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0"/>
          </reference>
        </references>
      </pivotArea>
    </chartFormat>
    <chartFormat chart="13" format="10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  <chartFormat chart="13" format="10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2"/>
          </reference>
        </references>
      </pivotArea>
    </chartFormat>
    <chartFormat chart="13" format="10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3"/>
          </reference>
        </references>
      </pivotArea>
    </chartFormat>
    <chartFormat chart="13" format="10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4"/>
          </reference>
        </references>
      </pivotArea>
    </chartFormat>
    <chartFormat chart="13" format="10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5"/>
          </reference>
        </references>
      </pivotArea>
    </chartFormat>
    <chartFormat chart="13" format="10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6"/>
          </reference>
        </references>
      </pivotArea>
    </chartFormat>
    <chartFormat chart="13" format="10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7"/>
          </reference>
        </references>
      </pivotArea>
    </chartFormat>
    <chartFormat chart="13" format="1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8"/>
          </reference>
        </references>
      </pivotArea>
    </chartFormat>
    <chartFormat chart="13" format="1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9"/>
          </reference>
        </references>
      </pivotArea>
    </chartFormat>
    <chartFormat chart="13" format="1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0"/>
          </reference>
        </references>
      </pivotArea>
    </chartFormat>
    <chartFormat chart="13" format="1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1"/>
          </reference>
        </references>
      </pivotArea>
    </chartFormat>
    <chartFormat chart="13" format="1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2"/>
          </reference>
        </references>
      </pivotArea>
    </chartFormat>
    <chartFormat chart="13" format="1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3"/>
          </reference>
        </references>
      </pivotArea>
    </chartFormat>
    <chartFormat chart="13" format="1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4"/>
          </reference>
        </references>
      </pivotArea>
    </chartFormat>
    <chartFormat chart="13" format="1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5"/>
          </reference>
        </references>
      </pivotArea>
    </chartFormat>
    <chartFormat chart="13" format="1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6"/>
          </reference>
        </references>
      </pivotArea>
    </chartFormat>
    <chartFormat chart="13" format="1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7"/>
          </reference>
        </references>
      </pivotArea>
    </chartFormat>
    <chartFormat chart="13" format="1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58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1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1" format="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11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11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11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1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11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1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11" format="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2"/>
          </reference>
        </references>
      </pivotArea>
    </chartFormat>
    <chartFormat chart="11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11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4"/>
          </reference>
        </references>
      </pivotArea>
    </chartFormat>
    <chartFormat chart="11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6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8"/>
          </reference>
        </references>
      </pivotArea>
    </chartFormat>
    <chartFormat chart="11" format="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9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2"/>
          </reference>
        </references>
      </pivotArea>
    </chartFormat>
    <chartFormat chart="11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  <chartFormat chart="11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11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5"/>
          </reference>
        </references>
      </pivotArea>
    </chartFormat>
    <chartFormat chart="11" format="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6"/>
          </reference>
        </references>
      </pivotArea>
    </chartFormat>
    <chartFormat chart="11" format="3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  <chartFormat chart="11" format="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8"/>
          </reference>
        </references>
      </pivotArea>
    </chartFormat>
    <chartFormat chart="11" format="4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9"/>
          </reference>
        </references>
      </pivotArea>
    </chartFormat>
    <chartFormat chart="11" format="4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0"/>
          </reference>
        </references>
      </pivotArea>
    </chartFormat>
    <chartFormat chart="11" format="4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  <chartFormat chart="11" format="4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2"/>
          </reference>
        </references>
      </pivotArea>
    </chartFormat>
    <chartFormat chart="11" format="4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3"/>
          </reference>
        </references>
      </pivotArea>
    </chartFormat>
    <chartFormat chart="11" format="4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4"/>
          </reference>
        </references>
      </pivotArea>
    </chartFormat>
    <chartFormat chart="11" format="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5"/>
          </reference>
        </references>
      </pivotArea>
    </chartFormat>
    <chartFormat chart="11" format="4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6"/>
          </reference>
        </references>
      </pivotArea>
    </chartFormat>
    <chartFormat chart="11" format="4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7"/>
          </reference>
        </references>
      </pivotArea>
    </chartFormat>
    <chartFormat chart="11" format="4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8"/>
          </reference>
        </references>
      </pivotArea>
    </chartFormat>
    <chartFormat chart="11" format="5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9"/>
          </reference>
        </references>
      </pivotArea>
    </chartFormat>
    <chartFormat chart="11" format="5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0"/>
          </reference>
        </references>
      </pivotArea>
    </chartFormat>
    <chartFormat chart="11" format="5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1"/>
          </reference>
        </references>
      </pivotArea>
    </chartFormat>
    <chartFormat chart="11" format="5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2"/>
          </reference>
        </references>
      </pivotArea>
    </chartFormat>
    <chartFormat chart="11" format="5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3"/>
          </reference>
        </references>
      </pivotArea>
    </chartFormat>
    <chartFormat chart="11" format="5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4"/>
          </reference>
        </references>
      </pivotArea>
    </chartFormat>
    <chartFormat chart="11" format="5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5"/>
          </reference>
        </references>
      </pivotArea>
    </chartFormat>
    <chartFormat chart="11" format="5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6"/>
          </reference>
        </references>
      </pivotArea>
    </chartFormat>
    <chartFormat chart="11" format="5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7"/>
          </reference>
        </references>
      </pivotArea>
    </chartFormat>
    <chartFormat chart="14" format="5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6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4" format="6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4" format="6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4" format="6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4" format="6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4" format="6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4" format="66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4" format="67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4" format="68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4" format="69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4" format="7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4" format="7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4" format="7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14" format="7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14" format="7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4" format="7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14" format="7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14" format="7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14" format="7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4" format="7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14" format="8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4" format="8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14" format="8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2"/>
          </reference>
        </references>
      </pivotArea>
    </chartFormat>
    <chartFormat chart="14" format="8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14" format="8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4"/>
          </reference>
        </references>
      </pivotArea>
    </chartFormat>
    <chartFormat chart="14" format="8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14" format="8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6"/>
          </reference>
        </references>
      </pivotArea>
    </chartFormat>
    <chartFormat chart="14" format="8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  <chartFormat chart="14" format="8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8"/>
          </reference>
        </references>
      </pivotArea>
    </chartFormat>
    <chartFormat chart="14" format="8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9"/>
          </reference>
        </references>
      </pivotArea>
    </chartFormat>
    <chartFormat chart="14" format="9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14" format="9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14" format="9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2"/>
          </reference>
        </references>
      </pivotArea>
    </chartFormat>
    <chartFormat chart="14" format="9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  <chartFormat chart="14" format="9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14" format="9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5"/>
          </reference>
        </references>
      </pivotArea>
    </chartFormat>
    <chartFormat chart="14" format="9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6"/>
          </reference>
        </references>
      </pivotArea>
    </chartFormat>
    <chartFormat chart="14" format="9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  <chartFormat chart="14" format="9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8"/>
          </reference>
        </references>
      </pivotArea>
    </chartFormat>
    <chartFormat chart="14" format="9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9"/>
          </reference>
        </references>
      </pivotArea>
    </chartFormat>
    <chartFormat chart="14" format="10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0"/>
          </reference>
        </references>
      </pivotArea>
    </chartFormat>
    <chartFormat chart="14" format="10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  <chartFormat chart="14" format="10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2"/>
          </reference>
        </references>
      </pivotArea>
    </chartFormat>
    <chartFormat chart="14" format="10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3"/>
          </reference>
        </references>
      </pivotArea>
    </chartFormat>
    <chartFormat chart="14" format="10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4"/>
          </reference>
        </references>
      </pivotArea>
    </chartFormat>
    <chartFormat chart="14" format="10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5"/>
          </reference>
        </references>
      </pivotArea>
    </chartFormat>
    <chartFormat chart="14" format="10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6"/>
          </reference>
        </references>
      </pivotArea>
    </chartFormat>
    <chartFormat chart="14" format="10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7"/>
          </reference>
        </references>
      </pivotArea>
    </chartFormat>
    <chartFormat chart="14" format="10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8"/>
          </reference>
        </references>
      </pivotArea>
    </chartFormat>
    <chartFormat chart="14" format="10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9"/>
          </reference>
        </references>
      </pivotArea>
    </chartFormat>
    <chartFormat chart="14" format="1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50"/>
          </reference>
        </references>
      </pivotArea>
    </chartFormat>
    <chartFormat chart="14" format="1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1"/>
          </reference>
        </references>
      </pivotArea>
    </chartFormat>
    <chartFormat chart="14" format="1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2"/>
          </reference>
        </references>
      </pivotArea>
    </chartFormat>
    <chartFormat chart="14" format="1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3"/>
          </reference>
        </references>
      </pivotArea>
    </chartFormat>
    <chartFormat chart="14" format="1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4"/>
          </reference>
        </references>
      </pivotArea>
    </chartFormat>
    <chartFormat chart="14" format="1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5"/>
          </reference>
        </references>
      </pivotArea>
    </chartFormat>
    <chartFormat chart="14" format="1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6"/>
          </reference>
        </references>
      </pivotArea>
    </chartFormat>
    <chartFormat chart="14" format="1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7"/>
          </reference>
        </references>
      </pivotArea>
    </chartFormat>
    <chartFormat chart="15" format="1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5" format="1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5" format="1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5" format="1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5" format="1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5" format="1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5" format="1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5" format="1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5" format="1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5" format="1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5" format="1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5" format="1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5" format="1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15" format="1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15" format="1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5" format="1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15" format="1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15" format="1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15" format="1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5" format="13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15" format="1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5" format="14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15" format="14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2"/>
          </reference>
        </references>
      </pivotArea>
    </chartFormat>
    <chartFormat chart="15" format="14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15" format="14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4"/>
          </reference>
        </references>
      </pivotArea>
    </chartFormat>
    <chartFormat chart="15" format="14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15" format="14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6"/>
          </reference>
        </references>
      </pivotArea>
    </chartFormat>
    <chartFormat chart="15" format="1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  <chartFormat chart="15" format="14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8"/>
          </reference>
        </references>
      </pivotArea>
    </chartFormat>
    <chartFormat chart="15" format="14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9"/>
          </reference>
        </references>
      </pivotArea>
    </chartFormat>
    <chartFormat chart="15" format="14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15" format="15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15" format="15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2"/>
          </reference>
        </references>
      </pivotArea>
    </chartFormat>
    <chartFormat chart="15" format="15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  <chartFormat chart="15" format="15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15" format="15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5"/>
          </reference>
        </references>
      </pivotArea>
    </chartFormat>
    <chartFormat chart="15" format="15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6"/>
          </reference>
        </references>
      </pivotArea>
    </chartFormat>
    <chartFormat chart="15" format="15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  <chartFormat chart="15" format="15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8"/>
          </reference>
        </references>
      </pivotArea>
    </chartFormat>
    <chartFormat chart="15" format="15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9"/>
          </reference>
        </references>
      </pivotArea>
    </chartFormat>
    <chartFormat chart="15" format="15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0"/>
          </reference>
        </references>
      </pivotArea>
    </chartFormat>
    <chartFormat chart="15" format="16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  <chartFormat chart="15" format="16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2"/>
          </reference>
        </references>
      </pivotArea>
    </chartFormat>
    <chartFormat chart="15" format="16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3"/>
          </reference>
        </references>
      </pivotArea>
    </chartFormat>
    <chartFormat chart="15" format="16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4"/>
          </reference>
        </references>
      </pivotArea>
    </chartFormat>
    <chartFormat chart="15" format="16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5"/>
          </reference>
        </references>
      </pivotArea>
    </chartFormat>
    <chartFormat chart="15" format="16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6"/>
          </reference>
        </references>
      </pivotArea>
    </chartFormat>
    <chartFormat chart="15" format="16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7"/>
          </reference>
        </references>
      </pivotArea>
    </chartFormat>
    <chartFormat chart="15" format="16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8"/>
          </reference>
        </references>
      </pivotArea>
    </chartFormat>
    <chartFormat chart="15" format="16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9"/>
          </reference>
        </references>
      </pivotArea>
    </chartFormat>
    <chartFormat chart="15" format="16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0"/>
          </reference>
        </references>
      </pivotArea>
    </chartFormat>
    <chartFormat chart="15" format="170">
      <pivotArea type="data" outline="0" fieldPosition="0">
        <references count="2">
          <reference field="4294967294" count="1" selected="0">
            <x v="0"/>
          </reference>
          <reference field="11" count="1" selected="0">
            <x v="51"/>
          </reference>
        </references>
      </pivotArea>
    </chartFormat>
    <chartFormat chart="15" format="17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2"/>
          </reference>
        </references>
      </pivotArea>
    </chartFormat>
    <chartFormat chart="15" format="17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3"/>
          </reference>
        </references>
      </pivotArea>
    </chartFormat>
    <chartFormat chart="15" format="17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4"/>
          </reference>
        </references>
      </pivotArea>
    </chartFormat>
    <chartFormat chart="15" format="17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5"/>
          </reference>
        </references>
      </pivotArea>
    </chartFormat>
    <chartFormat chart="15" format="17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6"/>
          </reference>
        </references>
      </pivotArea>
    </chartFormat>
    <chartFormat chart="15" format="17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7"/>
          </reference>
        </references>
      </pivotArea>
    </chartFormat>
    <chartFormat chart="16" format="5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6" format="6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6" format="6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6" format="6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6" format="6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6" format="6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6" format="66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6" format="67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6" format="68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6" format="69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6" format="7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6" format="7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6" format="7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16" format="7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16" format="7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6" format="7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16" format="7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16" format="7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16" format="7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6" format="7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16" format="8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6" format="8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16" format="8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2"/>
          </reference>
        </references>
      </pivotArea>
    </chartFormat>
    <chartFormat chart="16" format="8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16" format="8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4"/>
          </reference>
        </references>
      </pivotArea>
    </chartFormat>
    <chartFormat chart="16" format="8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16" format="8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6"/>
          </reference>
        </references>
      </pivotArea>
    </chartFormat>
    <chartFormat chart="16" format="8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  <chartFormat chart="16" format="8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8"/>
          </reference>
        </references>
      </pivotArea>
    </chartFormat>
    <chartFormat chart="16" format="8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9"/>
          </reference>
        </references>
      </pivotArea>
    </chartFormat>
    <chartFormat chart="16" format="9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16" format="9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16" format="9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2"/>
          </reference>
        </references>
      </pivotArea>
    </chartFormat>
    <chartFormat chart="16" format="9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  <chartFormat chart="16" format="9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16" format="9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5"/>
          </reference>
        </references>
      </pivotArea>
    </chartFormat>
    <chartFormat chart="16" format="9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6"/>
          </reference>
        </references>
      </pivotArea>
    </chartFormat>
    <chartFormat chart="16" format="9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  <chartFormat chart="16" format="9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8"/>
          </reference>
        </references>
      </pivotArea>
    </chartFormat>
    <chartFormat chart="16" format="9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9"/>
          </reference>
        </references>
      </pivotArea>
    </chartFormat>
    <chartFormat chart="16" format="10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0"/>
          </reference>
        </references>
      </pivotArea>
    </chartFormat>
    <chartFormat chart="16" format="10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  <chartFormat chart="16" format="10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2"/>
          </reference>
        </references>
      </pivotArea>
    </chartFormat>
    <chartFormat chart="16" format="10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3"/>
          </reference>
        </references>
      </pivotArea>
    </chartFormat>
    <chartFormat chart="16" format="10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4"/>
          </reference>
        </references>
      </pivotArea>
    </chartFormat>
    <chartFormat chart="16" format="10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5"/>
          </reference>
        </references>
      </pivotArea>
    </chartFormat>
    <chartFormat chart="16" format="10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6"/>
          </reference>
        </references>
      </pivotArea>
    </chartFormat>
    <chartFormat chart="16" format="10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7"/>
          </reference>
        </references>
      </pivotArea>
    </chartFormat>
    <chartFormat chart="16" format="10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8"/>
          </reference>
        </references>
      </pivotArea>
    </chartFormat>
    <chartFormat chart="16" format="10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9"/>
          </reference>
        </references>
      </pivotArea>
    </chartFormat>
    <chartFormat chart="16" format="1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50"/>
          </reference>
        </references>
      </pivotArea>
    </chartFormat>
    <chartFormat chart="16" format="1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1"/>
          </reference>
        </references>
      </pivotArea>
    </chartFormat>
    <chartFormat chart="16" format="1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2"/>
          </reference>
        </references>
      </pivotArea>
    </chartFormat>
    <chartFormat chart="16" format="1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3"/>
          </reference>
        </references>
      </pivotArea>
    </chartFormat>
    <chartFormat chart="16" format="1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4"/>
          </reference>
        </references>
      </pivotArea>
    </chartFormat>
    <chartFormat chart="16" format="1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5"/>
          </reference>
        </references>
      </pivotArea>
    </chartFormat>
    <chartFormat chart="16" format="1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6"/>
          </reference>
        </references>
      </pivotArea>
    </chartFormat>
    <chartFormat chart="16" format="1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7"/>
          </reference>
        </references>
      </pivotArea>
    </chartFormat>
    <chartFormat chart="17" format="1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7" format="1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7" format="1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7" format="1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7" format="1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7" format="1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7" format="1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7" format="1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7" format="1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7" format="1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7" format="1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7" format="1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7" format="1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17" format="1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17" format="1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7" format="1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17" format="1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17" format="1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17" format="1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7" format="13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17" format="1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7" format="14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17" format="14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2"/>
          </reference>
        </references>
      </pivotArea>
    </chartFormat>
    <chartFormat chart="17" format="14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17" format="14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4"/>
          </reference>
        </references>
      </pivotArea>
    </chartFormat>
    <chartFormat chart="17" format="14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17" format="14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6"/>
          </reference>
        </references>
      </pivotArea>
    </chartFormat>
    <chartFormat chart="17" format="1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  <chartFormat chart="17" format="14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8"/>
          </reference>
        </references>
      </pivotArea>
    </chartFormat>
    <chartFormat chart="17" format="14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9"/>
          </reference>
        </references>
      </pivotArea>
    </chartFormat>
    <chartFormat chart="17" format="14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17" format="15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17" format="15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2"/>
          </reference>
        </references>
      </pivotArea>
    </chartFormat>
    <chartFormat chart="17" format="15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  <chartFormat chart="17" format="15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17" format="15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5"/>
          </reference>
        </references>
      </pivotArea>
    </chartFormat>
    <chartFormat chart="17" format="15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6"/>
          </reference>
        </references>
      </pivotArea>
    </chartFormat>
    <chartFormat chart="17" format="15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  <chartFormat chart="17" format="15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8"/>
          </reference>
        </references>
      </pivotArea>
    </chartFormat>
    <chartFormat chart="17" format="15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9"/>
          </reference>
        </references>
      </pivotArea>
    </chartFormat>
    <chartFormat chart="17" format="15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0"/>
          </reference>
        </references>
      </pivotArea>
    </chartFormat>
    <chartFormat chart="17" format="16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  <chartFormat chart="17" format="16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2"/>
          </reference>
        </references>
      </pivotArea>
    </chartFormat>
    <chartFormat chart="17" format="16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3"/>
          </reference>
        </references>
      </pivotArea>
    </chartFormat>
    <chartFormat chart="17" format="16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4"/>
          </reference>
        </references>
      </pivotArea>
    </chartFormat>
    <chartFormat chart="17" format="16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5"/>
          </reference>
        </references>
      </pivotArea>
    </chartFormat>
    <chartFormat chart="17" format="16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6"/>
          </reference>
        </references>
      </pivotArea>
    </chartFormat>
    <chartFormat chart="17" format="16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7"/>
          </reference>
        </references>
      </pivotArea>
    </chartFormat>
    <chartFormat chart="17" format="16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8"/>
          </reference>
        </references>
      </pivotArea>
    </chartFormat>
    <chartFormat chart="17" format="16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9"/>
          </reference>
        </references>
      </pivotArea>
    </chartFormat>
    <chartFormat chart="17" format="16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0"/>
          </reference>
        </references>
      </pivotArea>
    </chartFormat>
    <chartFormat chart="17" format="170">
      <pivotArea type="data" outline="0" fieldPosition="0">
        <references count="2">
          <reference field="4294967294" count="1" selected="0">
            <x v="0"/>
          </reference>
          <reference field="11" count="1" selected="0">
            <x v="51"/>
          </reference>
        </references>
      </pivotArea>
    </chartFormat>
    <chartFormat chart="17" format="17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2"/>
          </reference>
        </references>
      </pivotArea>
    </chartFormat>
    <chartFormat chart="17" format="17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3"/>
          </reference>
        </references>
      </pivotArea>
    </chartFormat>
    <chartFormat chart="17" format="17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4"/>
          </reference>
        </references>
      </pivotArea>
    </chartFormat>
    <chartFormat chart="17" format="17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5"/>
          </reference>
        </references>
      </pivotArea>
    </chartFormat>
    <chartFormat chart="17" format="17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6"/>
          </reference>
        </references>
      </pivotArea>
    </chartFormat>
    <chartFormat chart="17" format="17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7"/>
          </reference>
        </references>
      </pivotArea>
    </chartFormat>
    <chartFormat chart="18" format="5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6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8" format="6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8" format="6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8" format="6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8" format="6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8" format="6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8" format="66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8" format="67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8" format="68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8" format="69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8" format="7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8" format="7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8" format="7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18" format="7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18" format="7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8" format="7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18" format="7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18" format="7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18" format="7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8" format="7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18" format="8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8" format="8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18" format="8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2"/>
          </reference>
        </references>
      </pivotArea>
    </chartFormat>
    <chartFormat chart="18" format="8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18" format="8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4"/>
          </reference>
        </references>
      </pivotArea>
    </chartFormat>
    <chartFormat chart="18" format="8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18" format="8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6"/>
          </reference>
        </references>
      </pivotArea>
    </chartFormat>
    <chartFormat chart="18" format="8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  <chartFormat chart="18" format="8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8"/>
          </reference>
        </references>
      </pivotArea>
    </chartFormat>
    <chartFormat chart="18" format="8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9"/>
          </reference>
        </references>
      </pivotArea>
    </chartFormat>
    <chartFormat chart="18" format="9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18" format="9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18" format="9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2"/>
          </reference>
        </references>
      </pivotArea>
    </chartFormat>
    <chartFormat chart="18" format="9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  <chartFormat chart="18" format="9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18" format="9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5"/>
          </reference>
        </references>
      </pivotArea>
    </chartFormat>
    <chartFormat chart="18" format="9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6"/>
          </reference>
        </references>
      </pivotArea>
    </chartFormat>
    <chartFormat chart="18" format="9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  <chartFormat chart="18" format="9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8"/>
          </reference>
        </references>
      </pivotArea>
    </chartFormat>
    <chartFormat chart="18" format="9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9"/>
          </reference>
        </references>
      </pivotArea>
    </chartFormat>
    <chartFormat chart="18" format="10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0"/>
          </reference>
        </references>
      </pivotArea>
    </chartFormat>
    <chartFormat chart="18" format="10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  <chartFormat chart="18" format="10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2"/>
          </reference>
        </references>
      </pivotArea>
    </chartFormat>
    <chartFormat chart="18" format="10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3"/>
          </reference>
        </references>
      </pivotArea>
    </chartFormat>
    <chartFormat chart="18" format="10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4"/>
          </reference>
        </references>
      </pivotArea>
    </chartFormat>
    <chartFormat chart="18" format="10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5"/>
          </reference>
        </references>
      </pivotArea>
    </chartFormat>
    <chartFormat chart="18" format="10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6"/>
          </reference>
        </references>
      </pivotArea>
    </chartFormat>
    <chartFormat chart="18" format="10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7"/>
          </reference>
        </references>
      </pivotArea>
    </chartFormat>
    <chartFormat chart="18" format="10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8"/>
          </reference>
        </references>
      </pivotArea>
    </chartFormat>
    <chartFormat chart="18" format="10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9"/>
          </reference>
        </references>
      </pivotArea>
    </chartFormat>
    <chartFormat chart="18" format="1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50"/>
          </reference>
        </references>
      </pivotArea>
    </chartFormat>
    <chartFormat chart="18" format="1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1"/>
          </reference>
        </references>
      </pivotArea>
    </chartFormat>
    <chartFormat chart="18" format="1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2"/>
          </reference>
        </references>
      </pivotArea>
    </chartFormat>
    <chartFormat chart="18" format="1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3"/>
          </reference>
        </references>
      </pivotArea>
    </chartFormat>
    <chartFormat chart="18" format="1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4"/>
          </reference>
        </references>
      </pivotArea>
    </chartFormat>
    <chartFormat chart="18" format="1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5"/>
          </reference>
        </references>
      </pivotArea>
    </chartFormat>
    <chartFormat chart="18" format="1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6"/>
          </reference>
        </references>
      </pivotArea>
    </chartFormat>
    <chartFormat chart="18" format="1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7"/>
          </reference>
        </references>
      </pivotArea>
    </chartFormat>
    <chartFormat chart="19" format="1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9" format="1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9" format="1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9" format="1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9" format="1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9" format="1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9" format="1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9" format="1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9" format="1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9" format="1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9" format="1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9" format="1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9" format="1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19" format="1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19" format="1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19" format="1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19" format="1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19" format="1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19" format="13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19" format="13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19" format="13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19" format="14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19" format="14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2"/>
          </reference>
        </references>
      </pivotArea>
    </chartFormat>
    <chartFormat chart="19" format="14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19" format="14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4"/>
          </reference>
        </references>
      </pivotArea>
    </chartFormat>
    <chartFormat chart="19" format="14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19" format="14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6"/>
          </reference>
        </references>
      </pivotArea>
    </chartFormat>
    <chartFormat chart="19" format="1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  <chartFormat chart="19" format="14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8"/>
          </reference>
        </references>
      </pivotArea>
    </chartFormat>
    <chartFormat chart="19" format="14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9"/>
          </reference>
        </references>
      </pivotArea>
    </chartFormat>
    <chartFormat chart="19" format="14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19" format="15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19" format="15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2"/>
          </reference>
        </references>
      </pivotArea>
    </chartFormat>
    <chartFormat chart="19" format="15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  <chartFormat chart="19" format="15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19" format="15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5"/>
          </reference>
        </references>
      </pivotArea>
    </chartFormat>
    <chartFormat chart="19" format="15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6"/>
          </reference>
        </references>
      </pivotArea>
    </chartFormat>
    <chartFormat chart="19" format="15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  <chartFormat chart="19" format="15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8"/>
          </reference>
        </references>
      </pivotArea>
    </chartFormat>
    <chartFormat chart="19" format="15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9"/>
          </reference>
        </references>
      </pivotArea>
    </chartFormat>
    <chartFormat chart="19" format="15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0"/>
          </reference>
        </references>
      </pivotArea>
    </chartFormat>
    <chartFormat chart="19" format="16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  <chartFormat chart="19" format="16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2"/>
          </reference>
        </references>
      </pivotArea>
    </chartFormat>
    <chartFormat chart="19" format="16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3"/>
          </reference>
        </references>
      </pivotArea>
    </chartFormat>
    <chartFormat chart="19" format="16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4"/>
          </reference>
        </references>
      </pivotArea>
    </chartFormat>
    <chartFormat chart="19" format="16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5"/>
          </reference>
        </references>
      </pivotArea>
    </chartFormat>
    <chartFormat chart="19" format="16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6"/>
          </reference>
        </references>
      </pivotArea>
    </chartFormat>
    <chartFormat chart="19" format="16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7"/>
          </reference>
        </references>
      </pivotArea>
    </chartFormat>
    <chartFormat chart="19" format="16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8"/>
          </reference>
        </references>
      </pivotArea>
    </chartFormat>
    <chartFormat chart="19" format="16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9"/>
          </reference>
        </references>
      </pivotArea>
    </chartFormat>
    <chartFormat chart="19" format="16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0"/>
          </reference>
        </references>
      </pivotArea>
    </chartFormat>
    <chartFormat chart="19" format="170">
      <pivotArea type="data" outline="0" fieldPosition="0">
        <references count="2">
          <reference field="4294967294" count="1" selected="0">
            <x v="0"/>
          </reference>
          <reference field="11" count="1" selected="0">
            <x v="51"/>
          </reference>
        </references>
      </pivotArea>
    </chartFormat>
    <chartFormat chart="19" format="17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2"/>
          </reference>
        </references>
      </pivotArea>
    </chartFormat>
    <chartFormat chart="19" format="17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3"/>
          </reference>
        </references>
      </pivotArea>
    </chartFormat>
    <chartFormat chart="19" format="17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4"/>
          </reference>
        </references>
      </pivotArea>
    </chartFormat>
    <chartFormat chart="19" format="17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5"/>
          </reference>
        </references>
      </pivotArea>
    </chartFormat>
    <chartFormat chart="19" format="17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6"/>
          </reference>
        </references>
      </pivotArea>
    </chartFormat>
    <chartFormat chart="19" format="17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7"/>
          </reference>
        </references>
      </pivotArea>
    </chartFormat>
    <chartFormat chart="20" format="1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78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0" format="17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0" format="18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0" format="18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0" format="18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0" format="18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0" format="184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20" format="185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20" format="186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20" format="187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20" format="18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20" format="189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20" format="19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  <chartFormat chart="20" format="19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3"/>
          </reference>
        </references>
      </pivotArea>
    </chartFormat>
    <chartFormat chart="20" format="19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4"/>
          </reference>
        </references>
      </pivotArea>
    </chartFormat>
    <chartFormat chart="20" format="19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5"/>
          </reference>
        </references>
      </pivotArea>
    </chartFormat>
    <chartFormat chart="20" format="19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6"/>
          </reference>
        </references>
      </pivotArea>
    </chartFormat>
    <chartFormat chart="20" format="19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7"/>
          </reference>
        </references>
      </pivotArea>
    </chartFormat>
    <chartFormat chart="20" format="196">
      <pivotArea type="data" outline="0" fieldPosition="0">
        <references count="2">
          <reference field="4294967294" count="1" selected="0">
            <x v="0"/>
          </reference>
          <reference field="11" count="1" selected="0">
            <x v="18"/>
          </reference>
        </references>
      </pivotArea>
    </chartFormat>
    <chartFormat chart="20" format="197">
      <pivotArea type="data" outline="0" fieldPosition="0">
        <references count="2">
          <reference field="4294967294" count="1" selected="0">
            <x v="0"/>
          </reference>
          <reference field="11" count="1" selected="0">
            <x v="19"/>
          </reference>
        </references>
      </pivotArea>
    </chartFormat>
    <chartFormat chart="20" format="198">
      <pivotArea type="data" outline="0" fieldPosition="0">
        <references count="2">
          <reference field="4294967294" count="1" selected="0">
            <x v="0"/>
          </reference>
          <reference field="11" count="1" selected="0">
            <x v="20"/>
          </reference>
        </references>
      </pivotArea>
    </chartFormat>
    <chartFormat chart="20" format="19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1"/>
          </reference>
        </references>
      </pivotArea>
    </chartFormat>
    <chartFormat chart="20" format="200">
      <pivotArea type="data" outline="0" fieldPosition="0">
        <references count="2">
          <reference field="4294967294" count="1" selected="0">
            <x v="0"/>
          </reference>
          <reference field="11" count="1" selected="0">
            <x v="22"/>
          </reference>
        </references>
      </pivotArea>
    </chartFormat>
    <chartFormat chart="20" format="20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3"/>
          </reference>
        </references>
      </pivotArea>
    </chartFormat>
    <chartFormat chart="20" format="20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4"/>
          </reference>
        </references>
      </pivotArea>
    </chartFormat>
    <chartFormat chart="20" format="20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5"/>
          </reference>
        </references>
      </pivotArea>
    </chartFormat>
    <chartFormat chart="20" format="20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6"/>
          </reference>
        </references>
      </pivotArea>
    </chartFormat>
    <chartFormat chart="20" format="20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7"/>
          </reference>
        </references>
      </pivotArea>
    </chartFormat>
    <chartFormat chart="20" format="20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8"/>
          </reference>
        </references>
      </pivotArea>
    </chartFormat>
    <chartFormat chart="20" format="207">
      <pivotArea type="data" outline="0" fieldPosition="0">
        <references count="2">
          <reference field="4294967294" count="1" selected="0">
            <x v="0"/>
          </reference>
          <reference field="11" count="1" selected="0">
            <x v="29"/>
          </reference>
        </references>
      </pivotArea>
    </chartFormat>
    <chartFormat chart="20" format="20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0"/>
          </reference>
        </references>
      </pivotArea>
    </chartFormat>
    <chartFormat chart="20" format="209">
      <pivotArea type="data" outline="0" fieldPosition="0">
        <references count="2">
          <reference field="4294967294" count="1" selected="0">
            <x v="0"/>
          </reference>
          <reference field="11" count="1" selected="0">
            <x v="31"/>
          </reference>
        </references>
      </pivotArea>
    </chartFormat>
    <chartFormat chart="20" format="2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2"/>
          </reference>
        </references>
      </pivotArea>
    </chartFormat>
    <chartFormat chart="20" format="2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3"/>
          </reference>
        </references>
      </pivotArea>
    </chartFormat>
    <chartFormat chart="20" format="2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4"/>
          </reference>
        </references>
      </pivotArea>
    </chartFormat>
    <chartFormat chart="20" format="2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5"/>
          </reference>
        </references>
      </pivotArea>
    </chartFormat>
    <chartFormat chart="20" format="2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6"/>
          </reference>
        </references>
      </pivotArea>
    </chartFormat>
    <chartFormat chart="20" format="2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7"/>
          </reference>
        </references>
      </pivotArea>
    </chartFormat>
    <chartFormat chart="20" format="21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8"/>
          </reference>
        </references>
      </pivotArea>
    </chartFormat>
    <chartFormat chart="20" format="2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9"/>
          </reference>
        </references>
      </pivotArea>
    </chartFormat>
    <chartFormat chart="20" format="2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0"/>
          </reference>
        </references>
      </pivotArea>
    </chartFormat>
    <chartFormat chart="20" format="2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41"/>
          </reference>
        </references>
      </pivotArea>
    </chartFormat>
    <chartFormat chart="20" format="2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42"/>
          </reference>
        </references>
      </pivotArea>
    </chartFormat>
    <chartFormat chart="20" format="2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3"/>
          </reference>
        </references>
      </pivotArea>
    </chartFormat>
    <chartFormat chart="20" format="2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44"/>
          </reference>
        </references>
      </pivotArea>
    </chartFormat>
    <chartFormat chart="20" format="223">
      <pivotArea type="data" outline="0" fieldPosition="0">
        <references count="2">
          <reference field="4294967294" count="1" selected="0">
            <x v="0"/>
          </reference>
          <reference field="11" count="1" selected="0">
            <x v="45"/>
          </reference>
        </references>
      </pivotArea>
    </chartFormat>
    <chartFormat chart="20" format="2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6"/>
          </reference>
        </references>
      </pivotArea>
    </chartFormat>
    <chartFormat chart="20" format="2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7"/>
          </reference>
        </references>
      </pivotArea>
    </chartFormat>
    <chartFormat chart="20" format="2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48"/>
          </reference>
        </references>
      </pivotArea>
    </chartFormat>
    <chartFormat chart="20" format="2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9"/>
          </reference>
        </references>
      </pivotArea>
    </chartFormat>
    <chartFormat chart="20" format="2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0"/>
          </reference>
        </references>
      </pivotArea>
    </chartFormat>
    <chartFormat chart="20" format="2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1"/>
          </reference>
        </references>
      </pivotArea>
    </chartFormat>
    <chartFormat chart="20" format="230">
      <pivotArea type="data" outline="0" fieldPosition="0">
        <references count="2">
          <reference field="4294967294" count="1" selected="0">
            <x v="0"/>
          </reference>
          <reference field="11" count="1" selected="0">
            <x v="52"/>
          </reference>
        </references>
      </pivotArea>
    </chartFormat>
    <chartFormat chart="20" format="2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3"/>
          </reference>
        </references>
      </pivotArea>
    </chartFormat>
    <chartFormat chart="20" format="2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4"/>
          </reference>
        </references>
      </pivotArea>
    </chartFormat>
    <chartFormat chart="20" format="2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55"/>
          </reference>
        </references>
      </pivotArea>
    </chartFormat>
    <chartFormat chart="20" format="2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56"/>
          </reference>
        </references>
      </pivotArea>
    </chartFormat>
    <chartFormat chart="20" format="2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526F88-68E5-426E-8515-CFC033ADA1A6}" name="PivotTable1" cacheId="1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86:B93" firstHeaderRow="1" firstDataRow="1" firstDataCol="1"/>
  <pivotFields count="13">
    <pivotField axis="axisRow" compact="0" outline="0" showAll="0">
      <items count="8">
        <item x="1"/>
        <item x="3"/>
        <item x="5"/>
        <item x="2"/>
        <item x="4"/>
        <item x="0"/>
        <item h="1" x="6"/>
        <item t="default"/>
      </items>
    </pivotField>
    <pivotField compact="0" outline="0" showAll="0"/>
    <pivotField compact="0" outline="0" showAll="0"/>
    <pivotField compact="0" outline="0" showAll="0">
      <items count="7">
        <item x="3"/>
        <item x="2"/>
        <item x="4"/>
        <item x="1"/>
        <item x="0"/>
        <item x="5"/>
        <item t="default"/>
      </items>
    </pivotField>
    <pivotField compact="0" outline="0" showAll="0"/>
    <pivotField compact="0" outline="0" showAll="0"/>
    <pivotField compact="0" outline="0" showAll="0">
      <items count="8">
        <item x="4"/>
        <item x="3"/>
        <item x="1"/>
        <item x="2"/>
        <item x="0"/>
        <item x="5"/>
        <item x="6"/>
        <item t="default"/>
      </items>
    </pivotField>
    <pivotField compact="0" outline="0" showAll="0"/>
    <pivotField compact="0" outline="0" showAll="0">
      <items count="186">
        <item x="110"/>
        <item x="176"/>
        <item x="178"/>
        <item x="157"/>
        <item x="87"/>
        <item x="123"/>
        <item x="137"/>
        <item x="24"/>
        <item x="169"/>
        <item x="148"/>
        <item x="26"/>
        <item x="103"/>
        <item x="41"/>
        <item x="171"/>
        <item x="162"/>
        <item x="144"/>
        <item x="108"/>
        <item x="165"/>
        <item x="177"/>
        <item x="130"/>
        <item x="78"/>
        <item x="175"/>
        <item x="16"/>
        <item x="6"/>
        <item x="31"/>
        <item x="166"/>
        <item x="14"/>
        <item x="19"/>
        <item x="61"/>
        <item x="170"/>
        <item x="152"/>
        <item x="62"/>
        <item x="50"/>
        <item x="12"/>
        <item x="33"/>
        <item x="15"/>
        <item x="9"/>
        <item x="150"/>
        <item x="179"/>
        <item x="101"/>
        <item x="47"/>
        <item x="55"/>
        <item x="129"/>
        <item x="105"/>
        <item x="36"/>
        <item x="88"/>
        <item x="0"/>
        <item x="122"/>
        <item x="174"/>
        <item x="43"/>
        <item x="89"/>
        <item x="127"/>
        <item x="131"/>
        <item x="135"/>
        <item x="42"/>
        <item x="132"/>
        <item x="80"/>
        <item x="58"/>
        <item x="139"/>
        <item x="118"/>
        <item x="27"/>
        <item x="138"/>
        <item x="140"/>
        <item x="67"/>
        <item x="57"/>
        <item x="25"/>
        <item x="100"/>
        <item x="73"/>
        <item x="49"/>
        <item x="79"/>
        <item x="96"/>
        <item x="60"/>
        <item x="173"/>
        <item x="115"/>
        <item x="2"/>
        <item x="97"/>
        <item x="153"/>
        <item x="154"/>
        <item x="145"/>
        <item x="93"/>
        <item x="10"/>
        <item x="142"/>
        <item x="106"/>
        <item x="8"/>
        <item x="3"/>
        <item x="91"/>
        <item x="70"/>
        <item x="40"/>
        <item x="183"/>
        <item x="181"/>
        <item x="102"/>
        <item x="155"/>
        <item x="68"/>
        <item x="107"/>
        <item x="59"/>
        <item x="125"/>
        <item x="5"/>
        <item x="64"/>
        <item x="113"/>
        <item x="117"/>
        <item x="124"/>
        <item x="136"/>
        <item x="23"/>
        <item x="54"/>
        <item x="39"/>
        <item x="120"/>
        <item x="119"/>
        <item x="38"/>
        <item x="111"/>
        <item x="182"/>
        <item x="86"/>
        <item x="56"/>
        <item x="133"/>
        <item x="29"/>
        <item x="17"/>
        <item x="121"/>
        <item x="92"/>
        <item x="21"/>
        <item x="69"/>
        <item x="94"/>
        <item x="22"/>
        <item x="158"/>
        <item x="74"/>
        <item x="168"/>
        <item x="32"/>
        <item x="75"/>
        <item x="147"/>
        <item x="167"/>
        <item x="149"/>
        <item x="99"/>
        <item x="90"/>
        <item x="4"/>
        <item x="163"/>
        <item x="112"/>
        <item x="85"/>
        <item x="104"/>
        <item x="172"/>
        <item x="84"/>
        <item x="65"/>
        <item x="156"/>
        <item x="13"/>
        <item x="164"/>
        <item x="161"/>
        <item x="35"/>
        <item x="51"/>
        <item x="134"/>
        <item x="45"/>
        <item x="180"/>
        <item x="11"/>
        <item x="34"/>
        <item x="82"/>
        <item x="37"/>
        <item x="30"/>
        <item x="7"/>
        <item x="46"/>
        <item x="53"/>
        <item x="81"/>
        <item x="95"/>
        <item x="66"/>
        <item x="72"/>
        <item x="18"/>
        <item x="1"/>
        <item x="20"/>
        <item x="159"/>
        <item x="77"/>
        <item x="48"/>
        <item x="52"/>
        <item x="83"/>
        <item x="114"/>
        <item x="44"/>
        <item x="146"/>
        <item x="28"/>
        <item x="151"/>
        <item x="116"/>
        <item x="143"/>
        <item x="76"/>
        <item x="126"/>
        <item x="128"/>
        <item x="63"/>
        <item x="71"/>
        <item x="141"/>
        <item x="109"/>
        <item x="98"/>
        <item x="160"/>
        <item x="184"/>
        <item t="default"/>
      </items>
    </pivotField>
    <pivotField compact="0" outline="0" showAll="0">
      <items count="399">
        <item x="364"/>
        <item x="157"/>
        <item x="164"/>
        <item x="283"/>
        <item x="168"/>
        <item x="201"/>
        <item x="358"/>
        <item x="213"/>
        <item x="106"/>
        <item x="317"/>
        <item x="146"/>
        <item x="219"/>
        <item x="56"/>
        <item x="44"/>
        <item x="298"/>
        <item x="171"/>
        <item x="190"/>
        <item x="325"/>
        <item x="196"/>
        <item x="230"/>
        <item x="309"/>
        <item x="272"/>
        <item x="0"/>
        <item x="306"/>
        <item x="394"/>
        <item x="31"/>
        <item x="155"/>
        <item x="267"/>
        <item x="275"/>
        <item x="252"/>
        <item x="326"/>
        <item x="305"/>
        <item x="24"/>
        <item x="6"/>
        <item x="90"/>
        <item x="374"/>
        <item x="287"/>
        <item x="368"/>
        <item x="212"/>
        <item x="302"/>
        <item x="366"/>
        <item x="324"/>
        <item x="285"/>
        <item x="207"/>
        <item x="360"/>
        <item x="53"/>
        <item x="346"/>
        <item x="71"/>
        <item x="58"/>
        <item x="26"/>
        <item x="253"/>
        <item x="61"/>
        <item x="229"/>
        <item x="342"/>
        <item x="203"/>
        <item x="389"/>
        <item x="337"/>
        <item x="323"/>
        <item x="377"/>
        <item x="16"/>
        <item x="43"/>
        <item x="14"/>
        <item x="81"/>
        <item x="362"/>
        <item x="33"/>
        <item x="74"/>
        <item x="276"/>
        <item x="335"/>
        <item x="50"/>
        <item x="220"/>
        <item x="373"/>
        <item x="72"/>
        <item x="217"/>
        <item x="395"/>
        <item x="344"/>
        <item x="259"/>
        <item x="205"/>
        <item x="286"/>
        <item x="321"/>
        <item x="9"/>
        <item x="311"/>
        <item x="15"/>
        <item x="266"/>
        <item x="135"/>
        <item x="343"/>
        <item x="188"/>
        <item x="19"/>
        <item x="68"/>
        <item x="152"/>
        <item x="175"/>
        <item x="260"/>
        <item x="369"/>
        <item x="327"/>
        <item x="37"/>
        <item x="318"/>
        <item x="148"/>
        <item x="209"/>
        <item x="116"/>
        <item x="235"/>
        <item x="384"/>
        <item x="45"/>
        <item x="354"/>
        <item x="77"/>
        <item x="273"/>
        <item x="221"/>
        <item x="238"/>
        <item x="110"/>
        <item x="200"/>
        <item x="218"/>
        <item x="124"/>
        <item x="5"/>
        <item x="10"/>
        <item x="256"/>
        <item x="301"/>
        <item x="242"/>
        <item x="310"/>
        <item x="186"/>
        <item x="295"/>
        <item x="138"/>
        <item x="130"/>
        <item x="371"/>
        <item x="379"/>
        <item x="262"/>
        <item x="65"/>
        <item x="47"/>
        <item x="300"/>
        <item x="393"/>
        <item x="98"/>
        <item x="225"/>
        <item x="232"/>
        <item x="349"/>
        <item x="25"/>
        <item x="179"/>
        <item x="204"/>
        <item x="240"/>
        <item x="125"/>
        <item x="119"/>
        <item x="173"/>
        <item x="237"/>
        <item x="67"/>
        <item x="211"/>
        <item x="108"/>
        <item x="93"/>
        <item x="36"/>
        <item x="234"/>
        <item x="216"/>
        <item x="390"/>
        <item x="254"/>
        <item x="12"/>
        <item x="255"/>
        <item x="195"/>
        <item x="386"/>
        <item x="46"/>
        <item x="345"/>
        <item x="336"/>
        <item x="206"/>
        <item x="391"/>
        <item x="112"/>
        <item x="381"/>
        <item x="236"/>
        <item x="59"/>
        <item x="322"/>
        <item x="158"/>
        <item x="140"/>
        <item x="250"/>
        <item x="8"/>
        <item x="170"/>
        <item x="307"/>
        <item x="367"/>
        <item x="340"/>
        <item x="359"/>
        <item x="279"/>
        <item x="227"/>
        <item x="231"/>
        <item x="64"/>
        <item x="299"/>
        <item x="143"/>
        <item x="314"/>
        <item x="178"/>
        <item x="141"/>
        <item x="269"/>
        <item x="48"/>
        <item x="82"/>
        <item x="189"/>
        <item x="145"/>
        <item x="328"/>
        <item x="233"/>
        <item x="23"/>
        <item x="2"/>
        <item x="169"/>
        <item x="339"/>
        <item x="351"/>
        <item x="29"/>
        <item x="27"/>
        <item x="223"/>
        <item x="289"/>
        <item x="382"/>
        <item x="149"/>
        <item x="278"/>
        <item x="361"/>
        <item x="293"/>
        <item x="315"/>
        <item x="128"/>
        <item x="215"/>
        <item x="332"/>
        <item x="79"/>
        <item x="376"/>
        <item x="111"/>
        <item x="356"/>
        <item x="21"/>
        <item x="137"/>
        <item x="385"/>
        <item x="265"/>
        <item x="118"/>
        <item x="224"/>
        <item x="392"/>
        <item x="248"/>
        <item x="197"/>
        <item x="316"/>
        <item x="86"/>
        <item x="80"/>
        <item x="348"/>
        <item x="70"/>
        <item x="187"/>
        <item x="281"/>
        <item x="277"/>
        <item x="372"/>
        <item x="41"/>
        <item x="378"/>
        <item x="91"/>
        <item x="107"/>
        <item x="226"/>
        <item x="198"/>
        <item x="42"/>
        <item x="167"/>
        <item x="280"/>
        <item x="97"/>
        <item x="383"/>
        <item x="144"/>
        <item x="380"/>
        <item x="296"/>
        <item x="3"/>
        <item x="104"/>
        <item x="147"/>
        <item x="54"/>
        <item x="331"/>
        <item x="312"/>
        <item x="355"/>
        <item x="163"/>
        <item x="105"/>
        <item x="239"/>
        <item x="270"/>
        <item x="114"/>
        <item x="388"/>
        <item x="129"/>
        <item x="191"/>
        <item x="304"/>
        <item x="40"/>
        <item x="271"/>
        <item x="127"/>
        <item x="319"/>
        <item x="113"/>
        <item x="78"/>
        <item x="297"/>
        <item x="365"/>
        <item x="52"/>
        <item x="126"/>
        <item x="120"/>
        <item x="66"/>
        <item x="210"/>
        <item x="134"/>
        <item x="193"/>
        <item x="268"/>
        <item x="131"/>
        <item x="363"/>
        <item x="308"/>
        <item x="151"/>
        <item x="17"/>
        <item x="264"/>
        <item x="181"/>
        <item x="257"/>
        <item x="4"/>
        <item x="94"/>
        <item x="32"/>
        <item x="22"/>
        <item x="288"/>
        <item x="192"/>
        <item x="13"/>
        <item x="263"/>
        <item x="370"/>
        <item x="102"/>
        <item x="185"/>
        <item x="294"/>
        <item x="139"/>
        <item x="172"/>
        <item x="95"/>
        <item x="303"/>
        <item x="334"/>
        <item x="284"/>
        <item x="69"/>
        <item x="228"/>
        <item x="352"/>
        <item x="103"/>
        <item x="115"/>
        <item x="184"/>
        <item x="320"/>
        <item x="35"/>
        <item x="183"/>
        <item x="329"/>
        <item x="85"/>
        <item x="87"/>
        <item x="160"/>
        <item x="34"/>
        <item x="30"/>
        <item x="75"/>
        <item x="159"/>
        <item x="353"/>
        <item x="396"/>
        <item x="99"/>
        <item x="92"/>
        <item x="123"/>
        <item x="51"/>
        <item x="76"/>
        <item x="150"/>
        <item x="39"/>
        <item x="11"/>
        <item x="241"/>
        <item x="182"/>
        <item x="222"/>
        <item x="338"/>
        <item x="330"/>
        <item x="63"/>
        <item x="100"/>
        <item x="60"/>
        <item x="290"/>
        <item x="347"/>
        <item x="55"/>
        <item x="1"/>
        <item x="375"/>
        <item x="7"/>
        <item x="387"/>
        <item x="313"/>
        <item x="333"/>
        <item x="122"/>
        <item x="57"/>
        <item x="194"/>
        <item x="20"/>
        <item x="18"/>
        <item x="214"/>
        <item x="89"/>
        <item x="180"/>
        <item x="132"/>
        <item x="162"/>
        <item x="243"/>
        <item x="177"/>
        <item x="109"/>
        <item x="251"/>
        <item x="84"/>
        <item x="96"/>
        <item x="176"/>
        <item x="291"/>
        <item x="117"/>
        <item x="38"/>
        <item x="258"/>
        <item x="165"/>
        <item x="244"/>
        <item x="62"/>
        <item x="121"/>
        <item x="161"/>
        <item x="357"/>
        <item x="154"/>
        <item x="166"/>
        <item x="208"/>
        <item x="174"/>
        <item x="249"/>
        <item x="246"/>
        <item x="245"/>
        <item x="341"/>
        <item x="142"/>
        <item x="247"/>
        <item x="49"/>
        <item x="199"/>
        <item x="28"/>
        <item x="153"/>
        <item x="282"/>
        <item x="73"/>
        <item x="274"/>
        <item x="101"/>
        <item x="136"/>
        <item x="83"/>
        <item x="350"/>
        <item x="202"/>
        <item x="88"/>
        <item x="156"/>
        <item x="133"/>
        <item x="292"/>
        <item x="261"/>
        <item x="397"/>
        <item t="default"/>
      </items>
    </pivotField>
    <pivotField dataField="1" compact="0" outline="0" showAll="0">
      <items count="443">
        <item x="409"/>
        <item x="312"/>
        <item x="164"/>
        <item x="172"/>
        <item x="176"/>
        <item x="44"/>
        <item x="216"/>
        <item x="318"/>
        <item x="230"/>
        <item x="304"/>
        <item x="355"/>
        <item x="332"/>
        <item x="344"/>
        <item x="300"/>
        <item x="152"/>
        <item x="114"/>
        <item x="179"/>
        <item x="238"/>
        <item x="96"/>
        <item x="367"/>
        <item x="57"/>
        <item x="0"/>
        <item x="252"/>
        <item x="207"/>
        <item x="31"/>
        <item x="251"/>
        <item x="162"/>
        <item x="201"/>
        <item x="368"/>
        <item x="438"/>
        <item x="419"/>
        <item x="24"/>
        <item x="314"/>
        <item x="33"/>
        <item x="363"/>
        <item x="384"/>
        <item x="340"/>
        <item x="75"/>
        <item x="316"/>
        <item x="50"/>
        <item x="339"/>
        <item x="336"/>
        <item x="6"/>
        <item x="294"/>
        <item x="422"/>
        <item x="279"/>
        <item x="327"/>
        <item x="59"/>
        <item x="26"/>
        <item x="222"/>
        <item x="280"/>
        <item x="366"/>
        <item x="383"/>
        <item x="229"/>
        <item x="405"/>
        <item x="391"/>
        <item x="387"/>
        <item x="16"/>
        <item x="413"/>
        <item x="218"/>
        <item x="118"/>
        <item x="378"/>
        <item x="62"/>
        <item x="305"/>
        <item x="287"/>
        <item x="231"/>
        <item x="240"/>
        <item x="433"/>
        <item x="124"/>
        <item x="418"/>
        <item x="293"/>
        <item x="241"/>
        <item x="9"/>
        <item x="78"/>
        <item x="414"/>
        <item x="416"/>
        <item x="159"/>
        <item x="171"/>
        <item x="228"/>
        <item x="85"/>
        <item x="365"/>
        <item x="407"/>
        <item x="43"/>
        <item x="258"/>
        <item x="411"/>
        <item x="54"/>
        <item x="220"/>
        <item x="134"/>
        <item x="14"/>
        <item x="76"/>
        <item x="385"/>
        <item x="214"/>
        <item x="315"/>
        <item x="398"/>
        <item x="185"/>
        <item x="105"/>
        <item x="390"/>
        <item x="225"/>
        <item x="15"/>
        <item x="335"/>
        <item x="12"/>
        <item x="139"/>
        <item x="10"/>
        <item x="376"/>
        <item x="5"/>
        <item x="426"/>
        <item x="71"/>
        <item x="143"/>
        <item x="285"/>
        <item x="236"/>
        <item x="439"/>
        <item x="215"/>
        <item x="19"/>
        <item x="37"/>
        <item x="302"/>
        <item x="301"/>
        <item x="133"/>
        <item x="262"/>
        <item x="25"/>
        <item x="199"/>
        <item x="347"/>
        <item x="328"/>
        <item x="267"/>
        <item x="369"/>
        <item x="264"/>
        <item x="203"/>
        <item x="154"/>
        <item x="406"/>
        <item x="181"/>
        <item x="81"/>
        <item x="45"/>
        <item x="116"/>
        <item x="47"/>
        <item x="254"/>
        <item x="72"/>
        <item x="151"/>
        <item x="206"/>
        <item x="237"/>
        <item x="346"/>
        <item x="70"/>
        <item x="404"/>
        <item x="257"/>
        <item x="120"/>
        <item x="196"/>
        <item x="144"/>
        <item x="8"/>
        <item x="227"/>
        <item x="286"/>
        <item x="67"/>
        <item x="89"/>
        <item x="244"/>
        <item x="223"/>
        <item x="260"/>
        <item x="48"/>
        <item x="429"/>
        <item x="320"/>
        <item x="425"/>
        <item x="188"/>
        <item x="282"/>
        <item x="289"/>
        <item x="431"/>
        <item x="128"/>
        <item x="60"/>
        <item x="393"/>
        <item x="334"/>
        <item x="246"/>
        <item x="69"/>
        <item x="46"/>
        <item x="243"/>
        <item x="437"/>
        <item x="36"/>
        <item x="265"/>
        <item x="424"/>
        <item x="83"/>
        <item x="249"/>
        <item x="86"/>
        <item x="65"/>
        <item x="281"/>
        <item x="41"/>
        <item x="239"/>
        <item x="353"/>
        <item x="377"/>
        <item x="132"/>
        <item x="330"/>
        <item x="200"/>
        <item x="100"/>
        <item x="221"/>
        <item x="417"/>
        <item x="259"/>
        <item x="421"/>
        <item x="357"/>
        <item x="187"/>
        <item x="434"/>
        <item x="219"/>
        <item x="277"/>
        <item x="165"/>
        <item x="146"/>
        <item x="55"/>
        <item x="177"/>
        <item x="84"/>
        <item x="119"/>
        <item x="149"/>
        <item x="364"/>
        <item x="435"/>
        <item x="358"/>
        <item x="402"/>
        <item x="208"/>
        <item x="182"/>
        <item x="308"/>
        <item x="115"/>
        <item x="397"/>
        <item x="123"/>
        <item x="210"/>
        <item x="410"/>
        <item x="27"/>
        <item x="42"/>
        <item x="247"/>
        <item x="307"/>
        <item x="147"/>
        <item x="2"/>
        <item x="291"/>
        <item x="104"/>
        <item x="29"/>
        <item x="209"/>
        <item x="178"/>
        <item x="198"/>
        <item x="97"/>
        <item x="253"/>
        <item x="255"/>
        <item x="235"/>
        <item x="271"/>
        <item x="113"/>
        <item x="155"/>
        <item x="394"/>
        <item x="122"/>
        <item x="352"/>
        <item x="66"/>
        <item x="94"/>
        <item x="248"/>
        <item x="427"/>
        <item x="430"/>
        <item x="423"/>
        <item x="233"/>
        <item x="319"/>
        <item x="399"/>
        <item x="380"/>
        <item x="261"/>
        <item x="245"/>
        <item x="137"/>
        <item x="370"/>
        <item x="4"/>
        <item x="101"/>
        <item x="23"/>
        <item x="234"/>
        <item x="283"/>
        <item x="349"/>
        <item x="374"/>
        <item x="53"/>
        <item x="325"/>
        <item x="274"/>
        <item x="74"/>
        <item x="112"/>
        <item x="373"/>
        <item x="381"/>
        <item x="338"/>
        <item x="98"/>
        <item x="195"/>
        <item x="190"/>
        <item x="156"/>
        <item x="354"/>
        <item x="107"/>
        <item x="333"/>
        <item x="297"/>
        <item x="138"/>
        <item x="82"/>
        <item x="388"/>
        <item x="309"/>
        <item x="428"/>
        <item x="386"/>
        <item x="197"/>
        <item x="3"/>
        <item x="400"/>
        <item x="127"/>
        <item x="135"/>
        <item x="310"/>
        <item x="436"/>
        <item x="306"/>
        <item x="175"/>
        <item x="298"/>
        <item x="322"/>
        <item x="102"/>
        <item x="329"/>
        <item x="317"/>
        <item x="21"/>
        <item x="91"/>
        <item x="191"/>
        <item x="263"/>
        <item x="180"/>
        <item x="313"/>
        <item x="17"/>
        <item x="372"/>
        <item x="92"/>
        <item x="242"/>
        <item x="11"/>
        <item x="408"/>
        <item x="64"/>
        <item x="158"/>
        <item x="290"/>
        <item x="360"/>
        <item x="331"/>
        <item x="61"/>
        <item x="192"/>
        <item x="110"/>
        <item x="351"/>
        <item x="153"/>
        <item x="39"/>
        <item x="142"/>
        <item x="337"/>
        <item x="129"/>
        <item x="30"/>
        <item x="40"/>
        <item x="79"/>
        <item x="121"/>
        <item x="348"/>
        <item x="170"/>
        <item x="362"/>
        <item x="150"/>
        <item x="99"/>
        <item x="32"/>
        <item x="224"/>
        <item x="415"/>
        <item x="80"/>
        <item x="204"/>
        <item x="34"/>
        <item x="157"/>
        <item x="342"/>
        <item x="111"/>
        <item x="371"/>
        <item x="292"/>
        <item x="194"/>
        <item x="326"/>
        <item x="205"/>
        <item x="299"/>
        <item x="226"/>
        <item x="22"/>
        <item x="440"/>
        <item x="136"/>
        <item x="106"/>
        <item x="432"/>
        <item x="296"/>
        <item x="13"/>
        <item x="68"/>
        <item x="256"/>
        <item x="343"/>
        <item x="145"/>
        <item x="126"/>
        <item x="52"/>
        <item x="184"/>
        <item x="193"/>
        <item x="90"/>
        <item x="266"/>
        <item x="73"/>
        <item x="420"/>
        <item x="250"/>
        <item x="272"/>
        <item x="108"/>
        <item x="167"/>
        <item x="125"/>
        <item x="392"/>
        <item x="321"/>
        <item x="389"/>
        <item x="140"/>
        <item x="1"/>
        <item x="63"/>
        <item x="20"/>
        <item x="35"/>
        <item x="396"/>
        <item x="7"/>
        <item x="166"/>
        <item x="232"/>
        <item x="213"/>
        <item x="395"/>
        <item x="295"/>
        <item x="375"/>
        <item x="131"/>
        <item x="341"/>
        <item x="379"/>
        <item x="186"/>
        <item x="18"/>
        <item x="278"/>
        <item x="361"/>
        <item x="95"/>
        <item x="88"/>
        <item x="189"/>
        <item x="103"/>
        <item x="323"/>
        <item x="38"/>
        <item x="56"/>
        <item x="284"/>
        <item x="183"/>
        <item x="117"/>
        <item x="173"/>
        <item x="58"/>
        <item x="130"/>
        <item x="169"/>
        <item x="168"/>
        <item x="268"/>
        <item x="77"/>
        <item x="403"/>
        <item x="202"/>
        <item x="303"/>
        <item x="276"/>
        <item x="269"/>
        <item x="270"/>
        <item x="356"/>
        <item x="401"/>
        <item x="93"/>
        <item x="212"/>
        <item x="350"/>
        <item x="275"/>
        <item x="273"/>
        <item x="412"/>
        <item x="359"/>
        <item x="345"/>
        <item x="49"/>
        <item x="109"/>
        <item x="211"/>
        <item x="174"/>
        <item x="148"/>
        <item x="311"/>
        <item x="161"/>
        <item x="382"/>
        <item x="160"/>
        <item x="28"/>
        <item x="51"/>
        <item x="87"/>
        <item x="217"/>
        <item x="288"/>
        <item x="163"/>
        <item x="141"/>
        <item x="324"/>
        <item x="441"/>
        <item t="default"/>
      </items>
    </pivotField>
    <pivotField compact="0" outline="0" showAll="0"/>
    <pivotField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Operating Profit" fld="10" baseField="0" baseItem="0" numFmtId="167"/>
  </dataFields>
  <formats count="24">
    <format dxfId="18">
      <pivotArea type="all" dataOnly="0" outline="0" fieldPosition="0"/>
    </format>
    <format dxfId="19">
      <pivotArea outline="0" collapsedLevelsAreSubtotals="1" fieldPosition="0"/>
    </format>
    <format dxfId="20">
      <pivotArea field="0" type="button" dataOnly="0" labelOnly="1" outline="0" axis="axisRow" fieldPosition="0"/>
    </format>
    <format dxfId="21">
      <pivotArea dataOnly="0" labelOnly="1" outline="0" fieldPosition="0">
        <references count="1">
          <reference field="0" count="0"/>
        </references>
      </pivotArea>
    </format>
    <format dxfId="22">
      <pivotArea dataOnly="0" labelOnly="1" grandRow="1" outline="0" fieldPosition="0"/>
    </format>
    <format dxfId="23">
      <pivotArea dataOnly="0" labelOnly="1" outline="0" axis="axisValues" fieldPosition="0"/>
    </format>
    <format dxfId="24">
      <pivotArea type="all" dataOnly="0" outline="0" fieldPosition="0"/>
    </format>
    <format dxfId="25">
      <pivotArea outline="0" collapsedLevelsAreSubtotals="1" fieldPosition="0"/>
    </format>
    <format dxfId="26">
      <pivotArea field="0" type="button" dataOnly="0" labelOnly="1" outline="0" axis="axisRow" fieldPosition="0"/>
    </format>
    <format dxfId="27">
      <pivotArea dataOnly="0" labelOnly="1" outline="0" fieldPosition="0">
        <references count="1">
          <reference field="0" count="0"/>
        </references>
      </pivotArea>
    </format>
    <format dxfId="28">
      <pivotArea dataOnly="0" labelOnly="1" grandRow="1" outline="0" fieldPosition="0"/>
    </format>
    <format dxfId="29">
      <pivotArea dataOnly="0" labelOnly="1" outline="0" axis="axisValues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field="0" type="button" dataOnly="0" labelOnly="1" outline="0" axis="axisRow" fieldPosition="0"/>
    </format>
    <format dxfId="33">
      <pivotArea dataOnly="0" labelOnly="1" outline="0" fieldPosition="0">
        <references count="1">
          <reference field="0" count="0"/>
        </references>
      </pivotArea>
    </format>
    <format dxfId="34">
      <pivotArea dataOnly="0" labelOnly="1" grandRow="1" outline="0" fieldPosition="0"/>
    </format>
    <format dxfId="35">
      <pivotArea dataOnly="0" labelOnly="1" outline="0" axis="axisValues" fieldPosition="0"/>
    </format>
    <format dxfId="36">
      <pivotArea type="all" dataOnly="0" outline="0" fieldPosition="0"/>
    </format>
    <format dxfId="37">
      <pivotArea outline="0" collapsedLevelsAreSubtotals="1" fieldPosition="0"/>
    </format>
    <format dxfId="38">
      <pivotArea field="0" type="button" dataOnly="0" labelOnly="1" outline="0" axis="axisRow" fieldPosition="0"/>
    </format>
    <format dxfId="39">
      <pivotArea dataOnly="0" labelOnly="1" outline="0" fieldPosition="0">
        <references count="1">
          <reference field="0" count="0"/>
        </references>
      </pivotArea>
    </format>
    <format dxfId="40">
      <pivotArea dataOnly="0" labelOnly="1" grandRow="1" outline="0" fieldPosition="0"/>
    </format>
    <format dxfId="41">
      <pivotArea dataOnly="0" labelOnly="1" outline="0" axis="axisValues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tailer" xr10:uid="{09DC220F-898F-4B32-896E-7FE8906AAC10}" sourceName="Retailer">
  <pivotTables>
    <pivotTable tabId="5" name="PivotTable3"/>
    <pivotTable tabId="6" name="PivotTable1"/>
    <pivotTable tabId="7" name="PivotTable2"/>
    <pivotTable tabId="4" name="PivotTable1"/>
  </pivotTables>
  <data>
    <tabular pivotCacheId="769210851">
      <items count="7">
        <i x="1" s="1"/>
        <i x="3" s="1"/>
        <i x="5" s="1"/>
        <i x="2" s="1"/>
        <i x="4" s="1"/>
        <i x="0" s="1"/>
        <i x="6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90BDD6D9-EF48-4279-BAEA-70ACAF9B9C10}" sourceName="Region">
  <pivotTables>
    <pivotTable tabId="2" name="PivotTable1"/>
  </pivotTables>
  <data>
    <tabular pivotCacheId="766843570">
      <items count="5">
        <i x="3" s="1"/>
        <i x="2" s="1"/>
        <i x="4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Sales" xr10:uid="{CE4CD54F-4BA1-4662-93D1-F67EC555AAA9}" sourceName="Total Sales">
  <pivotTables>
    <pivotTable tabId="2" name="PivotTable1"/>
    <pivotTable tabId="3" name="PivotTable2"/>
  </pivotTables>
  <data>
    <tabular pivotCacheId="766843570">
      <items count="397">
        <i x="364" s="1"/>
        <i x="157" s="1"/>
        <i x="164" s="1"/>
        <i x="283" s="1"/>
        <i x="168" s="1"/>
        <i x="201" s="1"/>
        <i x="358" s="1"/>
        <i x="213" s="1"/>
        <i x="106" s="1"/>
        <i x="317" s="1"/>
        <i x="146" s="1"/>
        <i x="219" s="1"/>
        <i x="56" s="1"/>
        <i x="44" s="1"/>
        <i x="298" s="1"/>
        <i x="171" s="1"/>
        <i x="190" s="1"/>
        <i x="325" s="1"/>
        <i x="196" s="1"/>
        <i x="230" s="1"/>
        <i x="309" s="1"/>
        <i x="272" s="1"/>
        <i x="0" s="1"/>
        <i x="306" s="1"/>
        <i x="394" s="1"/>
        <i x="31" s="1"/>
        <i x="155" s="1"/>
        <i x="267" s="1"/>
        <i x="275" s="1"/>
        <i x="252" s="1"/>
        <i x="326" s="1"/>
        <i x="305" s="1"/>
        <i x="24" s="1"/>
        <i x="6" s="1"/>
        <i x="90" s="1"/>
        <i x="374" s="1"/>
        <i x="287" s="1"/>
        <i x="368" s="1"/>
        <i x="212" s="1"/>
        <i x="302" s="1"/>
        <i x="366" s="1"/>
        <i x="324" s="1"/>
        <i x="285" s="1"/>
        <i x="207" s="1"/>
        <i x="360" s="1"/>
        <i x="53" s="1"/>
        <i x="346" s="1"/>
        <i x="71" s="1"/>
        <i x="58" s="1"/>
        <i x="26" s="1"/>
        <i x="253" s="1"/>
        <i x="61" s="1"/>
        <i x="229" s="1"/>
        <i x="342" s="1"/>
        <i x="203" s="1"/>
        <i x="389" s="1"/>
        <i x="337" s="1"/>
        <i x="323" s="1"/>
        <i x="377" s="1"/>
        <i x="16" s="1"/>
        <i x="43" s="1"/>
        <i x="14" s="1"/>
        <i x="81" s="1"/>
        <i x="362" s="1"/>
        <i x="33" s="1"/>
        <i x="74" s="1"/>
        <i x="276" s="1"/>
        <i x="335" s="1"/>
        <i x="50" s="1"/>
        <i x="220" s="1"/>
        <i x="373" s="1"/>
        <i x="72" s="1"/>
        <i x="217" s="1"/>
        <i x="395" s="1"/>
        <i x="344" s="1"/>
        <i x="259" s="1"/>
        <i x="205" s="1"/>
        <i x="286" s="1"/>
        <i x="321" s="1"/>
        <i x="9" s="1"/>
        <i x="311" s="1"/>
        <i x="15" s="1"/>
        <i x="266" s="1"/>
        <i x="135" s="1"/>
        <i x="343" s="1"/>
        <i x="188" s="1"/>
        <i x="19" s="1"/>
        <i x="68" s="1"/>
        <i x="152" s="1"/>
        <i x="175" s="1"/>
        <i x="260" s="1"/>
        <i x="369" s="1"/>
        <i x="327" s="1"/>
        <i x="37" s="1"/>
        <i x="318" s="1"/>
        <i x="148" s="1"/>
        <i x="209" s="1"/>
        <i x="116" s="1"/>
        <i x="235" s="1"/>
        <i x="384" s="1"/>
        <i x="45" s="1"/>
        <i x="354" s="1"/>
        <i x="77" s="1"/>
        <i x="273" s="1"/>
        <i x="221" s="1"/>
        <i x="238" s="1"/>
        <i x="110" s="1"/>
        <i x="200" s="1"/>
        <i x="218" s="1"/>
        <i x="124" s="1"/>
        <i x="5" s="1"/>
        <i x="10" s="1"/>
        <i x="256" s="1"/>
        <i x="301" s="1"/>
        <i x="242" s="1"/>
        <i x="310" s="1"/>
        <i x="186" s="1"/>
        <i x="295" s="1"/>
        <i x="138" s="1"/>
        <i x="130" s="1"/>
        <i x="371" s="1"/>
        <i x="379" s="1"/>
        <i x="262" s="1"/>
        <i x="65" s="1"/>
        <i x="47" s="1"/>
        <i x="300" s="1"/>
        <i x="393" s="1"/>
        <i x="98" s="1"/>
        <i x="225" s="1"/>
        <i x="232" s="1"/>
        <i x="349" s="1"/>
        <i x="25" s="1"/>
        <i x="179" s="1"/>
        <i x="204" s="1"/>
        <i x="240" s="1"/>
        <i x="125" s="1"/>
        <i x="119" s="1"/>
        <i x="173" s="1"/>
        <i x="237" s="1"/>
        <i x="67" s="1"/>
        <i x="211" s="1"/>
        <i x="108" s="1"/>
        <i x="93" s="1"/>
        <i x="36" s="1"/>
        <i x="234" s="1"/>
        <i x="216" s="1"/>
        <i x="390" s="1"/>
        <i x="254" s="1"/>
        <i x="12" s="1"/>
        <i x="255" s="1"/>
        <i x="195" s="1"/>
        <i x="386" s="1"/>
        <i x="46" s="1"/>
        <i x="345" s="1"/>
        <i x="336" s="1"/>
        <i x="206" s="1"/>
        <i x="391" s="1"/>
        <i x="112" s="1"/>
        <i x="381" s="1"/>
        <i x="236" s="1"/>
        <i x="59" s="1"/>
        <i x="322" s="1"/>
        <i x="158" s="1"/>
        <i x="140" s="1"/>
        <i x="250" s="1"/>
        <i x="8" s="1"/>
        <i x="170" s="1"/>
        <i x="307" s="1"/>
        <i x="367" s="1"/>
        <i x="340" s="1"/>
        <i x="359" s="1"/>
        <i x="279" s="1"/>
        <i x="227" s="1"/>
        <i x="231" s="1"/>
        <i x="64" s="1"/>
        <i x="299" s="1"/>
        <i x="143" s="1"/>
        <i x="314" s="1"/>
        <i x="178" s="1"/>
        <i x="141" s="1"/>
        <i x="269" s="1"/>
        <i x="48" s="1"/>
        <i x="82" s="1"/>
        <i x="189" s="1"/>
        <i x="145" s="1"/>
        <i x="328" s="1"/>
        <i x="233" s="1"/>
        <i x="23" s="1"/>
        <i x="2" s="1"/>
        <i x="169" s="1"/>
        <i x="339" s="1"/>
        <i x="351" s="1"/>
        <i x="29" s="1"/>
        <i x="27" s="1"/>
        <i x="223" s="1"/>
        <i x="289" s="1"/>
        <i x="382" s="1"/>
        <i x="149" s="1"/>
        <i x="278" s="1"/>
        <i x="361" s="1"/>
        <i x="293" s="1"/>
        <i x="315" s="1"/>
        <i x="128" s="1"/>
        <i x="215" s="1"/>
        <i x="332" s="1"/>
        <i x="79" s="1"/>
        <i x="376" s="1"/>
        <i x="111" s="1"/>
        <i x="356" s="1"/>
        <i x="21" s="1"/>
        <i x="137" s="1"/>
        <i x="385" s="1"/>
        <i x="265" s="1"/>
        <i x="118" s="1"/>
        <i x="224" s="1"/>
        <i x="392" s="1"/>
        <i x="248" s="1"/>
        <i x="197" s="1"/>
        <i x="316" s="1"/>
        <i x="86" s="1"/>
        <i x="80" s="1"/>
        <i x="348" s="1"/>
        <i x="70" s="1"/>
        <i x="187" s="1"/>
        <i x="281" s="1"/>
        <i x="277" s="1"/>
        <i x="372" s="1"/>
        <i x="41" s="1"/>
        <i x="378" s="1"/>
        <i x="91" s="1"/>
        <i x="107" s="1"/>
        <i x="226" s="1"/>
        <i x="198" s="1"/>
        <i x="42" s="1"/>
        <i x="167" s="1"/>
        <i x="280" s="1"/>
        <i x="97" s="1"/>
        <i x="383" s="1"/>
        <i x="144" s="1"/>
        <i x="380" s="1"/>
        <i x="296" s="1"/>
        <i x="3" s="1"/>
        <i x="104" s="1"/>
        <i x="147" s="1"/>
        <i x="54" s="1"/>
        <i x="331" s="1"/>
        <i x="312" s="1"/>
        <i x="355" s="1"/>
        <i x="163" s="1"/>
        <i x="105" s="1"/>
        <i x="239" s="1"/>
        <i x="270" s="1"/>
        <i x="114" s="1"/>
        <i x="388" s="1"/>
        <i x="129" s="1"/>
        <i x="191" s="1"/>
        <i x="304" s="1"/>
        <i x="40" s="1"/>
        <i x="271" s="1"/>
        <i x="127" s="1"/>
        <i x="319" s="1"/>
        <i x="113" s="1"/>
        <i x="78" s="1"/>
        <i x="297" s="1"/>
        <i x="365" s="1"/>
        <i x="52" s="1"/>
        <i x="126" s="1"/>
        <i x="120" s="1"/>
        <i x="66" s="1"/>
        <i x="210" s="1"/>
        <i x="134" s="1"/>
        <i x="193" s="1"/>
        <i x="268" s="1"/>
        <i x="131" s="1"/>
        <i x="363" s="1"/>
        <i x="308" s="1"/>
        <i x="151" s="1"/>
        <i x="17" s="1"/>
        <i x="264" s="1"/>
        <i x="181" s="1"/>
        <i x="257" s="1"/>
        <i x="4" s="1"/>
        <i x="94" s="1"/>
        <i x="32" s="1"/>
        <i x="22" s="1"/>
        <i x="288" s="1"/>
        <i x="192" s="1"/>
        <i x="13" s="1"/>
        <i x="263" s="1"/>
        <i x="370" s="1"/>
        <i x="102" s="1"/>
        <i x="185" s="1"/>
        <i x="294" s="1"/>
        <i x="139" s="1"/>
        <i x="172" s="1"/>
        <i x="95" s="1"/>
        <i x="303" s="1"/>
        <i x="334" s="1"/>
        <i x="284" s="1"/>
        <i x="69" s="1"/>
        <i x="228" s="1"/>
        <i x="352" s="1"/>
        <i x="103" s="1"/>
        <i x="115" s="1"/>
        <i x="184" s="1"/>
        <i x="320" s="1"/>
        <i x="35" s="1"/>
        <i x="183" s="1"/>
        <i x="329" s="1"/>
        <i x="85" s="1"/>
        <i x="87" s="1"/>
        <i x="160" s="1"/>
        <i x="34" s="1"/>
        <i x="30" s="1"/>
        <i x="75" s="1"/>
        <i x="159" s="1"/>
        <i x="353" s="1"/>
        <i x="396" s="1"/>
        <i x="99" s="1"/>
        <i x="92" s="1"/>
        <i x="123" s="1"/>
        <i x="51" s="1"/>
        <i x="76" s="1"/>
        <i x="150" s="1"/>
        <i x="39" s="1"/>
        <i x="11" s="1"/>
        <i x="241" s="1"/>
        <i x="182" s="1"/>
        <i x="222" s="1"/>
        <i x="338" s="1"/>
        <i x="330" s="1"/>
        <i x="63" s="1"/>
        <i x="100" s="1"/>
        <i x="60" s="1"/>
        <i x="290" s="1"/>
        <i x="347" s="1"/>
        <i x="55" s="1"/>
        <i x="1" s="1"/>
        <i x="375" s="1"/>
        <i x="7" s="1"/>
        <i x="387" s="1"/>
        <i x="313" s="1"/>
        <i x="333" s="1"/>
        <i x="122" s="1"/>
        <i x="57" s="1"/>
        <i x="194" s="1"/>
        <i x="20" s="1"/>
        <i x="18" s="1"/>
        <i x="214" s="1"/>
        <i x="89" s="1"/>
        <i x="180" s="1"/>
        <i x="132" s="1"/>
        <i x="162" s="1"/>
        <i x="243" s="1"/>
        <i x="177" s="1"/>
        <i x="109" s="1"/>
        <i x="251" s="1"/>
        <i x="84" s="1"/>
        <i x="96" s="1"/>
        <i x="176" s="1"/>
        <i x="291" s="1"/>
        <i x="117" s="1"/>
        <i x="38" s="1"/>
        <i x="258" s="1"/>
        <i x="165" s="1"/>
        <i x="244" s="1"/>
        <i x="62" s="1"/>
        <i x="121" s="1"/>
        <i x="161" s="1"/>
        <i x="357" s="1"/>
        <i x="154" s="1"/>
        <i x="166" s="1"/>
        <i x="208" s="1"/>
        <i x="174" s="1"/>
        <i x="249" s="1"/>
        <i x="246" s="1"/>
        <i x="245" s="1"/>
        <i x="341" s="1"/>
        <i x="142" s="1"/>
        <i x="247" s="1"/>
        <i x="49" s="1"/>
        <i x="199" s="1"/>
        <i x="28" s="1"/>
        <i x="153" s="1"/>
        <i x="282" s="1"/>
        <i x="73" s="1"/>
        <i x="274" s="1"/>
        <i x="101" s="1"/>
        <i x="136" s="1"/>
        <i x="83" s="1"/>
        <i x="350" s="1"/>
        <i x="202" s="1"/>
        <i x="88" s="1"/>
        <i x="156" s="1"/>
        <i x="133" s="1"/>
        <i x="292" s="1"/>
        <i x="26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" xr10:uid="{F725038B-B109-4ED5-B9D2-19BCDDC0539E}" sourceName="Product">
  <pivotTables>
    <pivotTable tabId="3" name="PivotTable2"/>
  </pivotTables>
  <data>
    <tabular pivotCacheId="766843570">
      <items count="6">
        <i x="4" s="1"/>
        <i x="3" s="1"/>
        <i x="1" s="1"/>
        <i x="2" s="1"/>
        <i x="0" s="1"/>
        <i x="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1" xr10:uid="{FEA19CBB-963E-41E6-B78A-B7D704337A2E}" sourceName="Region">
  <pivotTables>
    <pivotTable tabId="6" name="PivotTable1"/>
    <pivotTable tabId="5" name="PivotTable3"/>
    <pivotTable tabId="7" name="PivotTable2"/>
    <pivotTable tabId="4" name="PivotTable1"/>
  </pivotTables>
  <data>
    <tabular pivotCacheId="769210851">
      <items count="6">
        <i x="3" s="1"/>
        <i x="2" s="1"/>
        <i x="4" s="1"/>
        <i x="1" s="1"/>
        <i x="0" s="1"/>
        <i x="5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Units_Sold" xr10:uid="{2A03DF2B-2474-4A5B-8402-1E1CAFAEBB32}" sourceName="Units Sold">
  <pivotTables>
    <pivotTable tabId="6" name="PivotTable1"/>
  </pivotTables>
  <data>
    <tabular pivotCacheId="769210851">
      <items count="185">
        <i x="110" s="1"/>
        <i x="176" s="1"/>
        <i x="178" s="1"/>
        <i x="157" s="1"/>
        <i x="87" s="1"/>
        <i x="123" s="1"/>
        <i x="137" s="1"/>
        <i x="24" s="1"/>
        <i x="169" s="1"/>
        <i x="148" s="1"/>
        <i x="26" s="1"/>
        <i x="103" s="1"/>
        <i x="41" s="1"/>
        <i x="171" s="1"/>
        <i x="162" s="1"/>
        <i x="144" s="1"/>
        <i x="108" s="1"/>
        <i x="165" s="1"/>
        <i x="177" s="1"/>
        <i x="130" s="1"/>
        <i x="78" s="1"/>
        <i x="175" s="1"/>
        <i x="16" s="1"/>
        <i x="6" s="1"/>
        <i x="31" s="1"/>
        <i x="166" s="1"/>
        <i x="14" s="1"/>
        <i x="19" s="1"/>
        <i x="61" s="1"/>
        <i x="170" s="1"/>
        <i x="152" s="1"/>
        <i x="62" s="1"/>
        <i x="50" s="1"/>
        <i x="12" s="1"/>
        <i x="33" s="1"/>
        <i x="15" s="1"/>
        <i x="9" s="1"/>
        <i x="150" s="1"/>
        <i x="179" s="1"/>
        <i x="101" s="1"/>
        <i x="47" s="1"/>
        <i x="55" s="1"/>
        <i x="129" s="1"/>
        <i x="105" s="1"/>
        <i x="36" s="1"/>
        <i x="88" s="1"/>
        <i x="0" s="1"/>
        <i x="122" s="1"/>
        <i x="174" s="1"/>
        <i x="43" s="1"/>
        <i x="89" s="1"/>
        <i x="127" s="1"/>
        <i x="131" s="1"/>
        <i x="135" s="1"/>
        <i x="42" s="1"/>
        <i x="132" s="1"/>
        <i x="80" s="1"/>
        <i x="58" s="1"/>
        <i x="139" s="1"/>
        <i x="118" s="1"/>
        <i x="27" s="1"/>
        <i x="138" s="1"/>
        <i x="140" s="1"/>
        <i x="67" s="1"/>
        <i x="57" s="1"/>
        <i x="25" s="1"/>
        <i x="100" s="1"/>
        <i x="73" s="1"/>
        <i x="49" s="1"/>
        <i x="79" s="1"/>
        <i x="96" s="1"/>
        <i x="60" s="1"/>
        <i x="173" s="1"/>
        <i x="115" s="1"/>
        <i x="2" s="1"/>
        <i x="97" s="1"/>
        <i x="153" s="1"/>
        <i x="154" s="1"/>
        <i x="145" s="1"/>
        <i x="93" s="1"/>
        <i x="10" s="1"/>
        <i x="142" s="1"/>
        <i x="106" s="1"/>
        <i x="8" s="1"/>
        <i x="3" s="1"/>
        <i x="91" s="1"/>
        <i x="70" s="1"/>
        <i x="40" s="1"/>
        <i x="183" s="1"/>
        <i x="181" s="1"/>
        <i x="102" s="1"/>
        <i x="155" s="1"/>
        <i x="68" s="1"/>
        <i x="107" s="1"/>
        <i x="59" s="1"/>
        <i x="125" s="1"/>
        <i x="5" s="1"/>
        <i x="64" s="1"/>
        <i x="113" s="1"/>
        <i x="117" s="1"/>
        <i x="124" s="1"/>
        <i x="136" s="1"/>
        <i x="23" s="1"/>
        <i x="54" s="1"/>
        <i x="39" s="1"/>
        <i x="120" s="1"/>
        <i x="119" s="1"/>
        <i x="38" s="1"/>
        <i x="111" s="1"/>
        <i x="182" s="1"/>
        <i x="86" s="1"/>
        <i x="56" s="1"/>
        <i x="133" s="1"/>
        <i x="29" s="1"/>
        <i x="17" s="1"/>
        <i x="121" s="1"/>
        <i x="92" s="1"/>
        <i x="21" s="1"/>
        <i x="69" s="1"/>
        <i x="94" s="1"/>
        <i x="22" s="1"/>
        <i x="158" s="1"/>
        <i x="74" s="1"/>
        <i x="168" s="1"/>
        <i x="32" s="1"/>
        <i x="75" s="1"/>
        <i x="147" s="1"/>
        <i x="167" s="1"/>
        <i x="149" s="1"/>
        <i x="99" s="1"/>
        <i x="90" s="1"/>
        <i x="4" s="1"/>
        <i x="163" s="1"/>
        <i x="112" s="1"/>
        <i x="85" s="1"/>
        <i x="104" s="1"/>
        <i x="172" s="1"/>
        <i x="84" s="1"/>
        <i x="65" s="1"/>
        <i x="156" s="1"/>
        <i x="13" s="1"/>
        <i x="164" s="1"/>
        <i x="161" s="1"/>
        <i x="35" s="1"/>
        <i x="51" s="1"/>
        <i x="134" s="1"/>
        <i x="45" s="1"/>
        <i x="180" s="1"/>
        <i x="11" s="1"/>
        <i x="34" s="1"/>
        <i x="82" s="1"/>
        <i x="37" s="1"/>
        <i x="30" s="1"/>
        <i x="7" s="1"/>
        <i x="46" s="1"/>
        <i x="53" s="1"/>
        <i x="81" s="1"/>
        <i x="95" s="1"/>
        <i x="66" s="1"/>
        <i x="72" s="1"/>
        <i x="18" s="1"/>
        <i x="1" s="1"/>
        <i x="20" s="1"/>
        <i x="159" s="1"/>
        <i x="77" s="1"/>
        <i x="48" s="1"/>
        <i x="52" s="1"/>
        <i x="83" s="1"/>
        <i x="114" s="1"/>
        <i x="44" s="1"/>
        <i x="146" s="1"/>
        <i x="28" s="1"/>
        <i x="151" s="1"/>
        <i x="116" s="1"/>
        <i x="143" s="1"/>
        <i x="76" s="1"/>
        <i x="126" s="1"/>
        <i x="128" s="1"/>
        <i x="63" s="1"/>
        <i x="71" s="1"/>
        <i x="141" s="1"/>
        <i x="109" s="1"/>
        <i x="98" s="1"/>
        <i x="160" s="1"/>
        <i x="184" s="1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perating_Profit1" xr10:uid="{FEC101BB-E091-4761-99E3-CD193CEF3033}" sourceName="Operating Profit">
  <pivotTables>
    <pivotTable tabId="7" name="PivotTable2"/>
    <pivotTable tabId="5" name="PivotTable3"/>
    <pivotTable tabId="6" name="PivotTable1"/>
    <pivotTable tabId="4" name="PivotTable1"/>
  </pivotTables>
  <data>
    <tabular pivotCacheId="769210851">
      <items count="442">
        <i x="409" s="1"/>
        <i x="312" s="1"/>
        <i x="164" s="1"/>
        <i x="172" s="1"/>
        <i x="176" s="1"/>
        <i x="44" s="1"/>
        <i x="216" s="1"/>
        <i x="318" s="1"/>
        <i x="230" s="1"/>
        <i x="304" s="1"/>
        <i x="355" s="1"/>
        <i x="332" s="1"/>
        <i x="344" s="1"/>
        <i x="300" s="1"/>
        <i x="152" s="1"/>
        <i x="114" s="1"/>
        <i x="179" s="1"/>
        <i x="238" s="1"/>
        <i x="96" s="1"/>
        <i x="367" s="1"/>
        <i x="57" s="1"/>
        <i x="0" s="1"/>
        <i x="252" s="1"/>
        <i x="207" s="1"/>
        <i x="31" s="1"/>
        <i x="251" s="1"/>
        <i x="162" s="1"/>
        <i x="201" s="1"/>
        <i x="368" s="1"/>
        <i x="438" s="1"/>
        <i x="419" s="1"/>
        <i x="24" s="1"/>
        <i x="314" s="1"/>
        <i x="33" s="1"/>
        <i x="363" s="1"/>
        <i x="384" s="1"/>
        <i x="340" s="1"/>
        <i x="75" s="1"/>
        <i x="316" s="1"/>
        <i x="50" s="1"/>
        <i x="339" s="1"/>
        <i x="336" s="1"/>
        <i x="6" s="1"/>
        <i x="294" s="1"/>
        <i x="422" s="1"/>
        <i x="279" s="1"/>
        <i x="327" s="1"/>
        <i x="59" s="1"/>
        <i x="26" s="1"/>
        <i x="222" s="1"/>
        <i x="280" s="1"/>
        <i x="366" s="1"/>
        <i x="383" s="1"/>
        <i x="229" s="1"/>
        <i x="405" s="1"/>
        <i x="391" s="1"/>
        <i x="387" s="1"/>
        <i x="16" s="1"/>
        <i x="413" s="1"/>
        <i x="218" s="1"/>
        <i x="118" s="1"/>
        <i x="378" s="1"/>
        <i x="62" s="1"/>
        <i x="305" s="1"/>
        <i x="287" s="1"/>
        <i x="231" s="1"/>
        <i x="240" s="1"/>
        <i x="433" s="1"/>
        <i x="124" s="1"/>
        <i x="418" s="1"/>
        <i x="293" s="1"/>
        <i x="241" s="1"/>
        <i x="9" s="1"/>
        <i x="78" s="1"/>
        <i x="414" s="1"/>
        <i x="416" s="1"/>
        <i x="159" s="1"/>
        <i x="171" s="1"/>
        <i x="228" s="1"/>
        <i x="85" s="1"/>
        <i x="365" s="1"/>
        <i x="407" s="1"/>
        <i x="43" s="1"/>
        <i x="258" s="1"/>
        <i x="411" s="1"/>
        <i x="54" s="1"/>
        <i x="220" s="1"/>
        <i x="134" s="1"/>
        <i x="14" s="1"/>
        <i x="76" s="1"/>
        <i x="385" s="1"/>
        <i x="214" s="1"/>
        <i x="315" s="1"/>
        <i x="398" s="1"/>
        <i x="185" s="1"/>
        <i x="105" s="1"/>
        <i x="390" s="1"/>
        <i x="225" s="1"/>
        <i x="15" s="1"/>
        <i x="335" s="1"/>
        <i x="12" s="1"/>
        <i x="139" s="1"/>
        <i x="10" s="1"/>
        <i x="376" s="1"/>
        <i x="5" s="1"/>
        <i x="426" s="1"/>
        <i x="71" s="1"/>
        <i x="143" s="1"/>
        <i x="285" s="1"/>
        <i x="236" s="1"/>
        <i x="439" s="1"/>
        <i x="215" s="1"/>
        <i x="19" s="1"/>
        <i x="37" s="1"/>
        <i x="302" s="1"/>
        <i x="301" s="1"/>
        <i x="133" s="1"/>
        <i x="262" s="1"/>
        <i x="25" s="1"/>
        <i x="199" s="1"/>
        <i x="347" s="1"/>
        <i x="328" s="1"/>
        <i x="267" s="1"/>
        <i x="369" s="1"/>
        <i x="264" s="1"/>
        <i x="203" s="1"/>
        <i x="154" s="1"/>
        <i x="406" s="1"/>
        <i x="181" s="1"/>
        <i x="81" s="1"/>
        <i x="45" s="1"/>
        <i x="116" s="1"/>
        <i x="47" s="1"/>
        <i x="254" s="1"/>
        <i x="72" s="1"/>
        <i x="151" s="1"/>
        <i x="206" s="1"/>
        <i x="237" s="1"/>
        <i x="346" s="1"/>
        <i x="70" s="1"/>
        <i x="404" s="1"/>
        <i x="257" s="1"/>
        <i x="120" s="1"/>
        <i x="196" s="1"/>
        <i x="144" s="1"/>
        <i x="8" s="1"/>
        <i x="227" s="1"/>
        <i x="286" s="1"/>
        <i x="67" s="1"/>
        <i x="89" s="1"/>
        <i x="244" s="1"/>
        <i x="223" s="1"/>
        <i x="260" s="1"/>
        <i x="48" s="1"/>
        <i x="429" s="1"/>
        <i x="320" s="1"/>
        <i x="425" s="1"/>
        <i x="188" s="1"/>
        <i x="282" s="1"/>
        <i x="289" s="1"/>
        <i x="431" s="1"/>
        <i x="128" s="1"/>
        <i x="60" s="1"/>
        <i x="393" s="1"/>
        <i x="334" s="1"/>
        <i x="246" s="1"/>
        <i x="69" s="1"/>
        <i x="46" s="1"/>
        <i x="243" s="1"/>
        <i x="437" s="1"/>
        <i x="36" s="1"/>
        <i x="265" s="1"/>
        <i x="424" s="1"/>
        <i x="83" s="1"/>
        <i x="249" s="1"/>
        <i x="86" s="1"/>
        <i x="65" s="1"/>
        <i x="281" s="1"/>
        <i x="41" s="1"/>
        <i x="239" s="1"/>
        <i x="353" s="1"/>
        <i x="377" s="1"/>
        <i x="132" s="1"/>
        <i x="330" s="1"/>
        <i x="200" s="1"/>
        <i x="100" s="1"/>
        <i x="221" s="1"/>
        <i x="417" s="1"/>
        <i x="259" s="1"/>
        <i x="421" s="1"/>
        <i x="357" s="1"/>
        <i x="187" s="1"/>
        <i x="434" s="1"/>
        <i x="219" s="1"/>
        <i x="277" s="1"/>
        <i x="165" s="1"/>
        <i x="146" s="1"/>
        <i x="55" s="1"/>
        <i x="177" s="1"/>
        <i x="84" s="1"/>
        <i x="119" s="1"/>
        <i x="149" s="1"/>
        <i x="364" s="1"/>
        <i x="435" s="1"/>
        <i x="358" s="1"/>
        <i x="402" s="1"/>
        <i x="208" s="1"/>
        <i x="182" s="1"/>
        <i x="308" s="1"/>
        <i x="115" s="1"/>
        <i x="397" s="1"/>
        <i x="123" s="1"/>
        <i x="210" s="1"/>
        <i x="410" s="1"/>
        <i x="27" s="1"/>
        <i x="42" s="1"/>
        <i x="247" s="1"/>
        <i x="307" s="1"/>
        <i x="147" s="1"/>
        <i x="2" s="1"/>
        <i x="291" s="1"/>
        <i x="104" s="1"/>
        <i x="29" s="1"/>
        <i x="209" s="1"/>
        <i x="178" s="1"/>
        <i x="198" s="1"/>
        <i x="97" s="1"/>
        <i x="253" s="1"/>
        <i x="255" s="1"/>
        <i x="235" s="1"/>
        <i x="271" s="1"/>
        <i x="113" s="1"/>
        <i x="155" s="1"/>
        <i x="394" s="1"/>
        <i x="122" s="1"/>
        <i x="352" s="1"/>
        <i x="66" s="1"/>
        <i x="94" s="1"/>
        <i x="248" s="1"/>
        <i x="427" s="1"/>
        <i x="430" s="1"/>
        <i x="423" s="1"/>
        <i x="233" s="1"/>
        <i x="319" s="1"/>
        <i x="399" s="1"/>
        <i x="380" s="1"/>
        <i x="261" s="1"/>
        <i x="245" s="1"/>
        <i x="137" s="1"/>
        <i x="370" s="1"/>
        <i x="4" s="1"/>
        <i x="101" s="1"/>
        <i x="23" s="1"/>
        <i x="234" s="1"/>
        <i x="283" s="1"/>
        <i x="349" s="1"/>
        <i x="374" s="1"/>
        <i x="53" s="1"/>
        <i x="325" s="1"/>
        <i x="274" s="1"/>
        <i x="74" s="1"/>
        <i x="112" s="1"/>
        <i x="373" s="1"/>
        <i x="381" s="1"/>
        <i x="338" s="1"/>
        <i x="98" s="1"/>
        <i x="195" s="1"/>
        <i x="190" s="1"/>
        <i x="156" s="1"/>
        <i x="354" s="1"/>
        <i x="107" s="1"/>
        <i x="333" s="1"/>
        <i x="297" s="1"/>
        <i x="138" s="1"/>
        <i x="82" s="1"/>
        <i x="388" s="1"/>
        <i x="309" s="1"/>
        <i x="428" s="1"/>
        <i x="386" s="1"/>
        <i x="197" s="1"/>
        <i x="3" s="1"/>
        <i x="400" s="1"/>
        <i x="127" s="1"/>
        <i x="135" s="1"/>
        <i x="310" s="1"/>
        <i x="436" s="1"/>
        <i x="306" s="1"/>
        <i x="175" s="1"/>
        <i x="298" s="1"/>
        <i x="322" s="1"/>
        <i x="102" s="1"/>
        <i x="329" s="1"/>
        <i x="317" s="1"/>
        <i x="21" s="1"/>
        <i x="91" s="1"/>
        <i x="191" s="1"/>
        <i x="263" s="1"/>
        <i x="180" s="1"/>
        <i x="313" s="1"/>
        <i x="17" s="1"/>
        <i x="372" s="1"/>
        <i x="92" s="1"/>
        <i x="242" s="1"/>
        <i x="11" s="1"/>
        <i x="408" s="1"/>
        <i x="64" s="1"/>
        <i x="158" s="1"/>
        <i x="290" s="1"/>
        <i x="360" s="1"/>
        <i x="331" s="1"/>
        <i x="61" s="1"/>
        <i x="192" s="1"/>
        <i x="110" s="1"/>
        <i x="351" s="1"/>
        <i x="153" s="1"/>
        <i x="39" s="1"/>
        <i x="142" s="1"/>
        <i x="337" s="1"/>
        <i x="129" s="1"/>
        <i x="30" s="1"/>
        <i x="40" s="1"/>
        <i x="79" s="1"/>
        <i x="121" s="1"/>
        <i x="348" s="1"/>
        <i x="170" s="1"/>
        <i x="362" s="1"/>
        <i x="150" s="1"/>
        <i x="99" s="1"/>
        <i x="32" s="1"/>
        <i x="224" s="1"/>
        <i x="415" s="1"/>
        <i x="80" s="1"/>
        <i x="204" s="1"/>
        <i x="34" s="1"/>
        <i x="157" s="1"/>
        <i x="342" s="1"/>
        <i x="111" s="1"/>
        <i x="371" s="1"/>
        <i x="292" s="1"/>
        <i x="194" s="1"/>
        <i x="326" s="1"/>
        <i x="205" s="1"/>
        <i x="299" s="1"/>
        <i x="226" s="1"/>
        <i x="22" s="1"/>
        <i x="440" s="1"/>
        <i x="136" s="1"/>
        <i x="106" s="1"/>
        <i x="432" s="1"/>
        <i x="296" s="1"/>
        <i x="13" s="1"/>
        <i x="68" s="1"/>
        <i x="256" s="1"/>
        <i x="343" s="1"/>
        <i x="145" s="1"/>
        <i x="126" s="1"/>
        <i x="52" s="1"/>
        <i x="184" s="1"/>
        <i x="193" s="1"/>
        <i x="90" s="1"/>
        <i x="266" s="1"/>
        <i x="73" s="1"/>
        <i x="420" s="1"/>
        <i x="250" s="1"/>
        <i x="272" s="1"/>
        <i x="108" s="1"/>
        <i x="167" s="1"/>
        <i x="125" s="1"/>
        <i x="392" s="1"/>
        <i x="321" s="1"/>
        <i x="389" s="1"/>
        <i x="140" s="1"/>
        <i x="1" s="1"/>
        <i x="63" s="1"/>
        <i x="20" s="1"/>
        <i x="35" s="1"/>
        <i x="396" s="1"/>
        <i x="7" s="1"/>
        <i x="166" s="1"/>
        <i x="232" s="1"/>
        <i x="213" s="1"/>
        <i x="395" s="1"/>
        <i x="295" s="1"/>
        <i x="375" s="1"/>
        <i x="131" s="1"/>
        <i x="341" s="1"/>
        <i x="379" s="1"/>
        <i x="186" s="1"/>
        <i x="18" s="1"/>
        <i x="278" s="1"/>
        <i x="361" s="1"/>
        <i x="95" s="1"/>
        <i x="88" s="1"/>
        <i x="189" s="1"/>
        <i x="103" s="1"/>
        <i x="323" s="1"/>
        <i x="38" s="1"/>
        <i x="56" s="1"/>
        <i x="284" s="1"/>
        <i x="183" s="1"/>
        <i x="117" s="1"/>
        <i x="173" s="1"/>
        <i x="58" s="1"/>
        <i x="130" s="1"/>
        <i x="169" s="1"/>
        <i x="168" s="1"/>
        <i x="268" s="1"/>
        <i x="77" s="1"/>
        <i x="403" s="1"/>
        <i x="202" s="1"/>
        <i x="303" s="1"/>
        <i x="276" s="1"/>
        <i x="269" s="1"/>
        <i x="270" s="1"/>
        <i x="356" s="1"/>
        <i x="401" s="1"/>
        <i x="93" s="1"/>
        <i x="212" s="1"/>
        <i x="350" s="1"/>
        <i x="275" s="1"/>
        <i x="273" s="1"/>
        <i x="412" s="1"/>
        <i x="359" s="1"/>
        <i x="345" s="1"/>
        <i x="49" s="1"/>
        <i x="109" s="1"/>
        <i x="211" s="1"/>
        <i x="174" s="1"/>
        <i x="148" s="1"/>
        <i x="311" s="1"/>
        <i x="161" s="1"/>
        <i x="382" s="1"/>
        <i x="160" s="1"/>
        <i x="28" s="1"/>
        <i x="51" s="1"/>
        <i x="87" s="1"/>
        <i x="217" s="1"/>
        <i x="288" s="1"/>
        <i x="163" s="1"/>
        <i x="141" s="1"/>
        <i x="324" s="1"/>
        <i x="441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perating_Margin" xr10:uid="{172172D9-4643-4455-BCFB-293427A1FDAE}" sourceName="Operating Margin">
  <pivotTables>
    <pivotTable tabId="7" name="PivotTable2"/>
  </pivotTables>
  <data>
    <tabular pivotCacheId="769210851">
      <items count="59">
        <i x="39" s="1"/>
        <i x="48" s="1"/>
        <i x="34" s="1"/>
        <i x="37" s="1"/>
        <i x="25" s="1"/>
        <i x="46" s="1"/>
        <i x="55" s="1"/>
        <i x="6" s="1"/>
        <i x="36" s="1"/>
        <i x="3" s="1"/>
        <i x="7" s="1"/>
        <i x="35" s="1"/>
        <i x="33" s="1"/>
        <i x="29" s="1"/>
        <i x="13" s="1"/>
        <i x="30" s="1"/>
        <i x="41" s="1"/>
        <i x="28" s="1"/>
        <i x="5" s="1"/>
        <i x="1" s="1"/>
        <i x="11" s="1"/>
        <i x="0" s="1"/>
        <i x="21" s="1"/>
        <i x="27" s="1"/>
        <i x="17" s="1"/>
        <i x="47" s="1"/>
        <i x="26" s="1"/>
        <i x="4" s="1"/>
        <i x="2" s="1"/>
        <i x="10" s="1"/>
        <i x="19" s="1"/>
        <i x="18" s="1"/>
        <i x="12" s="1"/>
        <i x="9" s="1"/>
        <i x="44" s="1"/>
        <i x="24" s="1"/>
        <i x="15" s="1"/>
        <i x="52" s="1"/>
        <i x="16" s="1"/>
        <i x="8" s="1"/>
        <i x="23" s="1"/>
        <i x="45" s="1"/>
        <i x="43" s="1"/>
        <i x="38" s="1"/>
        <i x="49" s="1"/>
        <i x="50" s="1"/>
        <i x="32" s="1"/>
        <i x="51" s="1"/>
        <i x="22" s="1"/>
        <i x="20" s="1"/>
        <i x="14" s="1"/>
        <i x="40" s="1"/>
        <i x="54" s="1"/>
        <i x="31" s="1"/>
        <i x="57" s="1"/>
        <i x="53" s="1"/>
        <i x="56" s="1"/>
        <i x="42" s="1"/>
        <i x="58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1" xr10:uid="{D96DF313-06F9-419E-96E7-276F7CD5B7B8}" sourceName="Product">
  <pivotTables>
    <pivotTable tabId="4" name="PivotTable1"/>
  </pivotTables>
  <data>
    <tabular pivotCacheId="769210851">
      <items count="7">
        <i x="4" s="1"/>
        <i x="3" s="1"/>
        <i x="1" s="1"/>
        <i x="2" s="1"/>
        <i x="0" s="1"/>
        <i x="5" s="1"/>
        <i x="6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20A44395-DDD0-4AEB-99FF-86AA6C173E6D}" cache="Slicer_Region" caption="Region" rowHeight="228600"/>
  <slicer name="Total Sales" xr10:uid="{6178DE59-7C8A-4FFE-86E2-2B1C58446092}" cache="Slicer_Total_Sales" caption="Total Sales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otal Sales 1" xr10:uid="{7C1E3462-E4CD-4719-B6AC-D559D8C2BF5F}" cache="Slicer_Total_Sales" caption="Total Sales" rowHeight="228600"/>
  <slicer name="Product" xr10:uid="{431896E8-4187-4F25-A14C-7612BA46904C}" cache="Slicer_Product" caption="Product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tailer" xr10:uid="{E30E9250-4EE8-46D7-B65D-E334D2708CEB}" cache="Slicer_Retailer" caption="Retailer" rowHeight="228600"/>
  <slicer name="Operating Profit" xr10:uid="{88255AA3-0707-4B02-AB00-453761144E78}" cache="Slicer_Operating_Profit1" caption="Operating Profit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40349C20-73A5-4675-87B6-6528FA3516C0}" cache="Slicer_Region1" caption="Region" rowHeight="228600"/>
  <slicer name="Units Sold" xr10:uid="{5E9695E0-F011-4D49-86C2-E52B3D4C0634}" cache="Slicer_Units_Sold" caption="Units Sold" rowHeight="22860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perating Profit 1" xr10:uid="{D85AB191-6EF9-4AA4-93DE-F000D532547F}" cache="Slicer_Operating_Profit1" caption="Operating Profit" rowHeight="228600"/>
  <slicer name="Operating Margin" xr10:uid="{875E5796-3EA4-4F87-81E2-DFC433E42FC4}" cache="Slicer_Operating_Margin" caption="Operating Margin" rowHeight="22860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tailer 1" xr10:uid="{CC0503F3-921A-4936-9CBE-5A4E3BA7272D}" cache="Slicer_Retailer" caption="Retailer" columnCount="2" rowHeight="457200"/>
  <slicer name="Region 2" xr10:uid="{637DE363-DA58-4F64-B0BA-93D039526F3A}" cache="Slicer_Region1" caption="Region" columnCount="2" rowHeight="733425"/>
  <slicer name="Product 1" xr10:uid="{42476EF5-423C-40EE-9009-DC244C9B8076}" cache="Slicer_Product1" caption="Product" columnCount="2" rowHeight="4572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A573E9-EB88-498B-98A9-A7077A821E6C}" name="Table1" displayName="Table1" ref="A1:M501" totalsRowShown="0" headerRowDxfId="17" dataDxfId="16" headerRowBorderDxfId="14" tableBorderDxfId="15" totalsRowBorderDxfId="13">
  <autoFilter ref="A1:M501" xr:uid="{00000000-0009-0000-0000-000000000000}"/>
  <tableColumns count="13">
    <tableColumn id="1" xr3:uid="{061CE99C-DA01-41F8-A43C-6E3C1D5BF187}" name="Retailer" dataDxfId="12"/>
    <tableColumn id="2" xr3:uid="{FF2EA0D8-0E97-4212-9CBC-F6802B1387DA}" name="Retailer ID" dataDxfId="11"/>
    <tableColumn id="3" xr3:uid="{BC94C553-8934-4DA6-A7D4-E61631852CB0}" name="Invoice Date" dataDxfId="10"/>
    <tableColumn id="4" xr3:uid="{140DC11E-3945-4D3E-BDD5-2CC80B343375}" name="Region" dataDxfId="9"/>
    <tableColumn id="5" xr3:uid="{9295EE71-E494-4662-A66F-15F92B51C919}" name="State" dataDxfId="8"/>
    <tableColumn id="6" xr3:uid="{0D540E17-A98A-4B86-AF35-DFCC1E8DC49C}" name="City" dataDxfId="7"/>
    <tableColumn id="7" xr3:uid="{68155D4B-288E-4169-B92F-8C09D87FF763}" name="Product" dataDxfId="6"/>
    <tableColumn id="8" xr3:uid="{5FB67D51-D752-454A-9C7D-B938E1E7DF35}" name="Price per Unit" dataDxfId="5"/>
    <tableColumn id="9" xr3:uid="{55442C39-3BAB-466A-9466-DE761711F639}" name="Units Sold" dataDxfId="4"/>
    <tableColumn id="10" xr3:uid="{DA956065-51CE-46C6-8832-375E0EEA1DF2}" name="Total Sales" dataDxfId="3"/>
    <tableColumn id="11" xr3:uid="{84A2E953-1627-4140-9EC3-3C751695F7D2}" name="Operating Profit" dataDxfId="2"/>
    <tableColumn id="12" xr3:uid="{7D4DFCC5-8960-416B-A798-6D6905A03014}" name="Operating Margin" dataDxfId="1"/>
    <tableColumn id="13" xr3:uid="{E0CDEDA8-F8F1-403A-943E-ADBD0573CD5B}" name="Sales Metho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6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1142B-34E0-4DD6-8C67-A8F05B04D2DE}">
  <dimension ref="A3:I37"/>
  <sheetViews>
    <sheetView workbookViewId="0">
      <selection activeCell="A4" sqref="A4"/>
    </sheetView>
  </sheetViews>
  <sheetFormatPr defaultRowHeight="15"/>
  <cols>
    <col min="1" max="1" width="11.42578125" style="18" bestFit="1" customWidth="1"/>
    <col min="2" max="2" width="17.140625" style="22" bestFit="1" customWidth="1"/>
    <col min="3" max="3" width="17.140625" bestFit="1" customWidth="1"/>
  </cols>
  <sheetData>
    <row r="3" spans="1:9">
      <c r="A3" s="25" t="s">
        <v>0</v>
      </c>
      <c r="B3" s="17" t="s">
        <v>1</v>
      </c>
    </row>
    <row r="4" spans="1:9">
      <c r="A4" s="17" t="s">
        <v>2</v>
      </c>
      <c r="B4" s="26">
        <v>766836</v>
      </c>
      <c r="I4" s="17"/>
    </row>
    <row r="5" spans="1:9">
      <c r="A5" s="17" t="s">
        <v>3</v>
      </c>
      <c r="B5" s="26">
        <v>1366895</v>
      </c>
    </row>
    <row r="6" spans="1:9">
      <c r="A6" s="17" t="s">
        <v>4</v>
      </c>
      <c r="B6" s="26">
        <v>1196305</v>
      </c>
    </row>
    <row r="7" spans="1:9">
      <c r="A7" s="17" t="s">
        <v>5</v>
      </c>
      <c r="B7" s="26">
        <v>1056716</v>
      </c>
    </row>
    <row r="8" spans="1:9">
      <c r="A8" s="17" t="s">
        <v>6</v>
      </c>
      <c r="B8" s="26">
        <v>1824885</v>
      </c>
    </row>
    <row r="9" spans="1:9">
      <c r="A9" s="17" t="s">
        <v>7</v>
      </c>
      <c r="B9" s="26">
        <v>6211637</v>
      </c>
    </row>
    <row r="10" spans="1:9">
      <c r="A10"/>
      <c r="B10"/>
    </row>
    <row r="11" spans="1:9">
      <c r="A11"/>
      <c r="B11"/>
    </row>
    <row r="12" spans="1:9">
      <c r="A12"/>
      <c r="B12"/>
    </row>
    <row r="13" spans="1:9">
      <c r="A13"/>
      <c r="B13"/>
    </row>
    <row r="14" spans="1:9">
      <c r="A14"/>
      <c r="B14"/>
    </row>
    <row r="15" spans="1:9">
      <c r="A15"/>
      <c r="B15"/>
    </row>
    <row r="16" spans="1:9">
      <c r="A16"/>
      <c r="B16"/>
    </row>
    <row r="17" spans="1:2">
      <c r="A17"/>
      <c r="B17"/>
    </row>
    <row r="18" spans="1:2">
      <c r="A18"/>
      <c r="B18"/>
    </row>
    <row r="19" spans="1:2">
      <c r="A19"/>
      <c r="B19"/>
    </row>
    <row r="20" spans="1:2">
      <c r="A20"/>
      <c r="B20"/>
    </row>
    <row r="21" spans="1:2">
      <c r="A21"/>
      <c r="B21"/>
    </row>
    <row r="22" spans="1:2">
      <c r="A22"/>
      <c r="B22"/>
    </row>
    <row r="23" spans="1:2">
      <c r="A23"/>
      <c r="B23"/>
    </row>
    <row r="24" spans="1:2">
      <c r="A24"/>
      <c r="B24"/>
    </row>
    <row r="25" spans="1:2">
      <c r="A25"/>
      <c r="B25"/>
    </row>
    <row r="26" spans="1:2">
      <c r="A26"/>
      <c r="B26"/>
    </row>
    <row r="27" spans="1:2">
      <c r="A27"/>
      <c r="B27"/>
    </row>
    <row r="28" spans="1:2">
      <c r="A28"/>
      <c r="B28"/>
    </row>
    <row r="29" spans="1:2">
      <c r="A29"/>
      <c r="B29"/>
    </row>
    <row r="30" spans="1:2">
      <c r="A30"/>
      <c r="B30"/>
    </row>
    <row r="31" spans="1:2">
      <c r="A31"/>
      <c r="B31"/>
    </row>
    <row r="32" spans="1:2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A2ED-BAE2-4AE5-B2C2-024F90253A51}">
  <dimension ref="A3:B10"/>
  <sheetViews>
    <sheetView workbookViewId="0">
      <selection activeCell="A4" sqref="A4"/>
    </sheetView>
  </sheetViews>
  <sheetFormatPr defaultRowHeight="15"/>
  <cols>
    <col min="1" max="1" width="25.140625" bestFit="1" customWidth="1"/>
    <col min="2" max="2" width="17.140625" bestFit="1" customWidth="1"/>
  </cols>
  <sheetData>
    <row r="3" spans="1:2">
      <c r="A3" s="25" t="s">
        <v>8</v>
      </c>
      <c r="B3" s="17" t="s">
        <v>1</v>
      </c>
    </row>
    <row r="4" spans="1:2">
      <c r="A4" s="17" t="s">
        <v>9</v>
      </c>
      <c r="B4" s="26">
        <v>721350</v>
      </c>
    </row>
    <row r="5" spans="1:2">
      <c r="A5" s="17" t="s">
        <v>10</v>
      </c>
      <c r="B5" s="26">
        <v>1088683</v>
      </c>
    </row>
    <row r="6" spans="1:2">
      <c r="A6" s="17" t="s">
        <v>11</v>
      </c>
      <c r="B6" s="26">
        <v>1543717</v>
      </c>
    </row>
    <row r="7" spans="1:2">
      <c r="A7" s="17" t="s">
        <v>12</v>
      </c>
      <c r="B7" s="26">
        <v>1233751</v>
      </c>
    </row>
    <row r="8" spans="1:2">
      <c r="A8" s="17" t="s">
        <v>13</v>
      </c>
      <c r="B8" s="26">
        <v>723635</v>
      </c>
    </row>
    <row r="9" spans="1:2">
      <c r="A9" s="17" t="s">
        <v>14</v>
      </c>
      <c r="B9" s="26">
        <v>900501</v>
      </c>
    </row>
    <row r="10" spans="1:2">
      <c r="A10" s="17" t="s">
        <v>7</v>
      </c>
      <c r="B10" s="26">
        <v>6211637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8A6B0-DD91-4359-AF74-E1791955563C}">
  <dimension ref="A3:B10"/>
  <sheetViews>
    <sheetView workbookViewId="0">
      <selection activeCell="A3" sqref="A3:XFD10"/>
    </sheetView>
  </sheetViews>
  <sheetFormatPr defaultRowHeight="15"/>
  <cols>
    <col min="1" max="1" width="12.140625" bestFit="1" customWidth="1"/>
    <col min="2" max="3" width="22" bestFit="1" customWidth="1"/>
  </cols>
  <sheetData>
    <row r="3" spans="1:2">
      <c r="A3" s="23" t="s">
        <v>15</v>
      </c>
      <c r="B3" s="24" t="s">
        <v>16</v>
      </c>
    </row>
    <row r="4" spans="1:2">
      <c r="A4" s="24" t="s">
        <v>17</v>
      </c>
      <c r="B4" s="24">
        <v>179569.09</v>
      </c>
    </row>
    <row r="5" spans="1:2">
      <c r="A5" s="24" t="s">
        <v>18</v>
      </c>
      <c r="B5" s="24">
        <v>605616.94000000029</v>
      </c>
    </row>
    <row r="6" spans="1:2">
      <c r="A6" s="24" t="s">
        <v>19</v>
      </c>
      <c r="B6" s="24">
        <v>234588.26000000004</v>
      </c>
    </row>
    <row r="7" spans="1:2">
      <c r="A7" s="24" t="s">
        <v>20</v>
      </c>
      <c r="B7" s="24">
        <v>600974.29</v>
      </c>
    </row>
    <row r="8" spans="1:2">
      <c r="A8" s="24" t="s">
        <v>21</v>
      </c>
      <c r="B8" s="24">
        <v>212331.98</v>
      </c>
    </row>
    <row r="9" spans="1:2">
      <c r="A9" s="24" t="s">
        <v>22</v>
      </c>
      <c r="B9" s="24">
        <v>621332.98999999987</v>
      </c>
    </row>
    <row r="10" spans="1:2">
      <c r="A10" s="24" t="s">
        <v>7</v>
      </c>
      <c r="B10" s="24">
        <v>2454413.5500000003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8F641-CFFB-4DD1-8A78-04484AF13739}">
  <dimension ref="A3:B11"/>
  <sheetViews>
    <sheetView workbookViewId="0">
      <selection activeCell="P47" sqref="P47"/>
    </sheetView>
  </sheetViews>
  <sheetFormatPr defaultRowHeight="15"/>
  <cols>
    <col min="1" max="1" width="11.42578125" style="4" bestFit="1" customWidth="1"/>
    <col min="2" max="2" width="16.5703125" style="4" bestFit="1" customWidth="1"/>
    <col min="3" max="52" width="3" bestFit="1" customWidth="1"/>
    <col min="53" max="179" width="4.140625" bestFit="1" customWidth="1"/>
    <col min="180" max="185" width="5.140625" bestFit="1" customWidth="1"/>
    <col min="186" max="186" width="7.140625" bestFit="1" customWidth="1"/>
    <col min="187" max="187" width="11.42578125" bestFit="1" customWidth="1"/>
  </cols>
  <sheetData>
    <row r="3" spans="1:2">
      <c r="A3" s="23" t="s">
        <v>0</v>
      </c>
      <c r="B3" s="24" t="s">
        <v>23</v>
      </c>
    </row>
    <row r="4" spans="1:2">
      <c r="A4" s="17" t="s">
        <v>2</v>
      </c>
      <c r="B4" s="24">
        <v>18581</v>
      </c>
    </row>
    <row r="5" spans="1:2">
      <c r="A5" s="17" t="s">
        <v>3</v>
      </c>
      <c r="B5" s="24">
        <v>26583</v>
      </c>
    </row>
    <row r="6" spans="1:2">
      <c r="A6" s="17" t="s">
        <v>4</v>
      </c>
      <c r="B6" s="24">
        <v>27811</v>
      </c>
    </row>
    <row r="7" spans="1:2">
      <c r="A7" s="17" t="s">
        <v>5</v>
      </c>
      <c r="B7" s="24">
        <v>20676</v>
      </c>
    </row>
    <row r="8" spans="1:2">
      <c r="A8" s="17" t="s">
        <v>6</v>
      </c>
      <c r="B8" s="24">
        <v>34059</v>
      </c>
    </row>
    <row r="9" spans="1:2">
      <c r="A9" s="24" t="s">
        <v>7</v>
      </c>
      <c r="B9" s="24">
        <v>127710</v>
      </c>
    </row>
    <row r="10" spans="1:2">
      <c r="A10"/>
      <c r="B10"/>
    </row>
    <row r="11" spans="1:2">
      <c r="A11"/>
      <c r="B11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5BCA-5792-4524-B797-2825CA51901D}">
  <dimension ref="A1:B63"/>
  <sheetViews>
    <sheetView workbookViewId="0">
      <selection activeCell="M15" sqref="M15"/>
    </sheetView>
  </sheetViews>
  <sheetFormatPr defaultRowHeight="15"/>
  <cols>
    <col min="1" max="1" width="19.85546875" style="20" bestFit="1" customWidth="1"/>
    <col min="2" max="2" width="22" style="4" bestFit="1" customWidth="1"/>
  </cols>
  <sheetData>
    <row r="1" spans="1:2">
      <c r="A1" s="21"/>
    </row>
    <row r="3" spans="1:2">
      <c r="A3" s="19" t="s">
        <v>24</v>
      </c>
      <c r="B3" s="4" t="s">
        <v>16</v>
      </c>
    </row>
    <row r="4" spans="1:2">
      <c r="A4" s="20">
        <v>0.15</v>
      </c>
      <c r="B4" s="4">
        <v>27075</v>
      </c>
    </row>
    <row r="5" spans="1:2">
      <c r="A5" s="20">
        <v>0.18</v>
      </c>
      <c r="B5" s="4">
        <v>1713.6</v>
      </c>
    </row>
    <row r="6" spans="1:2">
      <c r="A6" s="20">
        <v>0.2</v>
      </c>
      <c r="B6" s="4">
        <v>30450</v>
      </c>
    </row>
    <row r="7" spans="1:2">
      <c r="A7" s="20">
        <v>0.21</v>
      </c>
      <c r="B7" s="4">
        <v>2842.14</v>
      </c>
    </row>
    <row r="8" spans="1:2">
      <c r="A8" s="20">
        <v>0.25</v>
      </c>
      <c r="B8" s="4">
        <v>96682.25</v>
      </c>
    </row>
    <row r="9" spans="1:2">
      <c r="A9" s="20">
        <v>0.26</v>
      </c>
      <c r="B9" s="4">
        <v>7735.52</v>
      </c>
    </row>
    <row r="10" spans="1:2">
      <c r="A10" s="20">
        <v>0.27</v>
      </c>
      <c r="B10" s="4">
        <v>793.26</v>
      </c>
    </row>
    <row r="11" spans="1:2">
      <c r="A11" s="20">
        <v>0.28000000000000003</v>
      </c>
      <c r="B11" s="4">
        <v>4778.4799999999996</v>
      </c>
    </row>
    <row r="12" spans="1:2">
      <c r="A12" s="20">
        <v>0.28999999999999998</v>
      </c>
      <c r="B12" s="4">
        <v>2496.3199999999997</v>
      </c>
    </row>
    <row r="13" spans="1:2">
      <c r="A13" s="20">
        <v>0.3</v>
      </c>
      <c r="B13" s="4">
        <v>122030.39999999999</v>
      </c>
    </row>
    <row r="14" spans="1:2">
      <c r="A14" s="20">
        <v>0.31</v>
      </c>
      <c r="B14" s="4">
        <v>5787.08</v>
      </c>
    </row>
    <row r="15" spans="1:2">
      <c r="A15" s="20">
        <v>0.32</v>
      </c>
      <c r="B15" s="4">
        <v>4912.6400000000003</v>
      </c>
    </row>
    <row r="16" spans="1:2">
      <c r="A16" s="20">
        <v>0.33</v>
      </c>
      <c r="B16" s="4">
        <v>7830.9</v>
      </c>
    </row>
    <row r="17" spans="1:2">
      <c r="A17" s="20">
        <v>0.34</v>
      </c>
      <c r="B17" s="4">
        <v>17178.499999999996</v>
      </c>
    </row>
    <row r="18" spans="1:2">
      <c r="A18" s="20">
        <v>0.35</v>
      </c>
      <c r="B18" s="4">
        <v>470977.15</v>
      </c>
    </row>
    <row r="19" spans="1:2">
      <c r="A19" s="20">
        <v>0.36</v>
      </c>
      <c r="B19" s="4">
        <v>17205.48</v>
      </c>
    </row>
    <row r="20" spans="1:2">
      <c r="A20" s="20">
        <v>0.37</v>
      </c>
      <c r="B20" s="4">
        <v>10972.72</v>
      </c>
    </row>
    <row r="21" spans="1:2">
      <c r="A21" s="20">
        <v>0.38</v>
      </c>
      <c r="B21" s="4">
        <v>13992.74</v>
      </c>
    </row>
    <row r="22" spans="1:2">
      <c r="A22" s="20">
        <v>0.39</v>
      </c>
      <c r="B22" s="4">
        <v>20069.79</v>
      </c>
    </row>
    <row r="23" spans="1:2">
      <c r="A23" s="20">
        <v>0.4</v>
      </c>
      <c r="B23" s="4">
        <v>450836.4</v>
      </c>
    </row>
    <row r="24" spans="1:2">
      <c r="A24" s="20">
        <v>0.41</v>
      </c>
      <c r="B24" s="4">
        <v>37920.49</v>
      </c>
    </row>
    <row r="25" spans="1:2">
      <c r="A25" s="20">
        <v>0.42</v>
      </c>
      <c r="B25" s="4">
        <v>36702.120000000003</v>
      </c>
    </row>
    <row r="26" spans="1:2">
      <c r="A26" s="20">
        <v>0.42999999999999988</v>
      </c>
      <c r="B26" s="4">
        <v>4861.1499999999996</v>
      </c>
    </row>
    <row r="27" spans="1:2">
      <c r="A27" s="20">
        <v>0.43</v>
      </c>
      <c r="B27" s="4">
        <v>7070.06</v>
      </c>
    </row>
    <row r="28" spans="1:2">
      <c r="A28" s="20">
        <v>0.44</v>
      </c>
      <c r="B28" s="4">
        <v>25545.079999999998</v>
      </c>
    </row>
    <row r="29" spans="1:2">
      <c r="A29" s="20">
        <v>0.44000000000000011</v>
      </c>
      <c r="B29" s="4">
        <v>6017.44</v>
      </c>
    </row>
    <row r="30" spans="1:2">
      <c r="A30" s="20">
        <v>0.45</v>
      </c>
      <c r="B30" s="4">
        <v>190794.15000000002</v>
      </c>
    </row>
    <row r="31" spans="1:2">
      <c r="A31" s="20">
        <v>0.46</v>
      </c>
      <c r="B31" s="4">
        <v>17673.660000000003</v>
      </c>
    </row>
    <row r="32" spans="1:2">
      <c r="A32" s="20">
        <v>0.47</v>
      </c>
      <c r="B32" s="4">
        <v>43900.820000000007</v>
      </c>
    </row>
    <row r="33" spans="1:2">
      <c r="A33" s="20">
        <v>0.48</v>
      </c>
      <c r="B33" s="4">
        <v>25670.400000000001</v>
      </c>
    </row>
    <row r="34" spans="1:2">
      <c r="A34" s="20">
        <v>0.49</v>
      </c>
      <c r="B34" s="4">
        <v>37410.03</v>
      </c>
    </row>
    <row r="35" spans="1:2">
      <c r="A35" s="20">
        <v>0.49999999999999989</v>
      </c>
      <c r="B35" s="4">
        <v>46642.5</v>
      </c>
    </row>
    <row r="36" spans="1:2">
      <c r="A36" s="20">
        <v>0.5</v>
      </c>
      <c r="B36" s="4">
        <v>181121</v>
      </c>
    </row>
    <row r="37" spans="1:2">
      <c r="A37" s="20">
        <v>0.51</v>
      </c>
      <c r="B37" s="4">
        <v>50898</v>
      </c>
    </row>
    <row r="38" spans="1:2">
      <c r="A38" s="20">
        <v>0.52</v>
      </c>
      <c r="B38" s="4">
        <v>11161.279999999999</v>
      </c>
    </row>
    <row r="39" spans="1:2">
      <c r="A39" s="20">
        <v>0.53</v>
      </c>
      <c r="B39" s="4">
        <v>37677.700000000004</v>
      </c>
    </row>
    <row r="40" spans="1:2">
      <c r="A40" s="20">
        <v>0.54</v>
      </c>
      <c r="B40" s="4">
        <v>48152.34</v>
      </c>
    </row>
    <row r="41" spans="1:2">
      <c r="A41" s="20">
        <v>0.54000000000000015</v>
      </c>
      <c r="B41" s="4">
        <v>3598.56</v>
      </c>
    </row>
    <row r="42" spans="1:2">
      <c r="A42" s="20">
        <v>0.54999999999999993</v>
      </c>
      <c r="B42" s="4">
        <v>15962.65</v>
      </c>
    </row>
    <row r="43" spans="1:2">
      <c r="A43" s="20">
        <v>0.55000000000000004</v>
      </c>
      <c r="B43" s="4">
        <v>103851.00000000001</v>
      </c>
    </row>
    <row r="44" spans="1:2">
      <c r="A44" s="20">
        <v>0.56000000000000005</v>
      </c>
      <c r="B44" s="4">
        <v>23161.599999999999</v>
      </c>
    </row>
    <row r="45" spans="1:2">
      <c r="A45" s="20">
        <v>0.57000000000000006</v>
      </c>
      <c r="B45" s="4">
        <v>21723.27</v>
      </c>
    </row>
    <row r="46" spans="1:2">
      <c r="A46" s="20">
        <v>0.58000000000000007</v>
      </c>
      <c r="B46" s="4">
        <v>5072.1000000000004</v>
      </c>
    </row>
    <row r="47" spans="1:2">
      <c r="A47" s="20">
        <v>0.59000000000000008</v>
      </c>
      <c r="B47" s="4">
        <v>8339.0600000000013</v>
      </c>
    </row>
    <row r="48" spans="1:2">
      <c r="A48" s="20">
        <v>0.6</v>
      </c>
      <c r="B48" s="4">
        <v>2550</v>
      </c>
    </row>
    <row r="49" spans="1:2">
      <c r="A49" s="20">
        <v>0.60000000000000009</v>
      </c>
      <c r="B49" s="4">
        <v>21720</v>
      </c>
    </row>
    <row r="50" spans="1:2">
      <c r="A50" s="20">
        <v>0.61</v>
      </c>
      <c r="B50" s="4">
        <v>11969.42</v>
      </c>
    </row>
    <row r="51" spans="1:2">
      <c r="A51" s="20">
        <v>0.6100000000000001</v>
      </c>
      <c r="B51" s="4">
        <v>6414.76</v>
      </c>
    </row>
    <row r="52" spans="1:2">
      <c r="A52" s="20">
        <v>0.62</v>
      </c>
      <c r="B52" s="4">
        <v>1296.42</v>
      </c>
    </row>
    <row r="53" spans="1:2">
      <c r="A53" s="20">
        <v>0.63</v>
      </c>
      <c r="B53" s="4">
        <v>8675.73</v>
      </c>
    </row>
    <row r="54" spans="1:2">
      <c r="A54" s="20">
        <v>0.64</v>
      </c>
      <c r="B54" s="4">
        <v>27493.119999999999</v>
      </c>
    </row>
    <row r="55" spans="1:2">
      <c r="A55" s="20">
        <v>0.65</v>
      </c>
      <c r="B55" s="4">
        <v>18759.649999999998</v>
      </c>
    </row>
    <row r="56" spans="1:2">
      <c r="A56" s="20">
        <v>0.65000000000000013</v>
      </c>
      <c r="B56" s="4">
        <v>14787.5</v>
      </c>
    </row>
    <row r="57" spans="1:2">
      <c r="A57" s="20">
        <v>0.66000000000000014</v>
      </c>
      <c r="B57" s="4">
        <v>2059.1999999999998</v>
      </c>
    </row>
    <row r="58" spans="1:2">
      <c r="A58" s="20">
        <v>0.67</v>
      </c>
      <c r="B58" s="4">
        <v>6334.18</v>
      </c>
    </row>
    <row r="59" spans="1:2">
      <c r="A59" s="20">
        <v>0.69000000000000006</v>
      </c>
      <c r="B59" s="4">
        <v>13039.62</v>
      </c>
    </row>
    <row r="60" spans="1:2">
      <c r="A60" s="20">
        <v>0.70000000000000007</v>
      </c>
      <c r="B60" s="4">
        <v>3710</v>
      </c>
    </row>
    <row r="61" spans="1:2">
      <c r="A61" s="20">
        <v>0.79000000000000015</v>
      </c>
      <c r="B61" s="4">
        <v>8317.1200000000008</v>
      </c>
    </row>
    <row r="62" spans="1:2">
      <c r="A62" t="s">
        <v>7</v>
      </c>
      <c r="B62" s="4">
        <v>2454413.5500000007</v>
      </c>
    </row>
    <row r="63" spans="1:2">
      <c r="A63"/>
      <c r="B63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F2F2-6D6C-4104-AA14-50E757BD6E4D}">
  <dimension ref="A2:E93"/>
  <sheetViews>
    <sheetView showGridLines="0" tabSelected="1" topLeftCell="A2" workbookViewId="0">
      <selection activeCell="A3" sqref="A3"/>
    </sheetView>
  </sheetViews>
  <sheetFormatPr defaultRowHeight="15"/>
  <cols>
    <col min="1" max="1" width="80.5703125" style="27" customWidth="1"/>
    <col min="2" max="2" width="83.42578125" style="27" customWidth="1"/>
    <col min="3" max="3" width="67.7109375" style="29" customWidth="1"/>
    <col min="4" max="4" width="80.7109375" style="27" customWidth="1"/>
    <col min="5" max="5" width="46.140625" style="27" customWidth="1"/>
    <col min="6" max="8" width="9.140625" style="27"/>
    <col min="9" max="9" width="41" style="27" customWidth="1"/>
    <col min="10" max="16384" width="9.140625" style="27"/>
  </cols>
  <sheetData>
    <row r="2" spans="2:5" ht="65.25" customHeight="1">
      <c r="B2" s="28" t="s">
        <v>25</v>
      </c>
      <c r="E2" s="30"/>
    </row>
    <row r="3" spans="2:5" ht="65.25" customHeight="1">
      <c r="B3" s="28"/>
      <c r="E3" s="30"/>
    </row>
    <row r="18" spans="1:4" s="38" customFormat="1" ht="26.25">
      <c r="A18" s="31" t="s">
        <v>26</v>
      </c>
      <c r="B18" s="32" t="s">
        <v>27</v>
      </c>
      <c r="C18" s="33" t="s">
        <v>28</v>
      </c>
      <c r="D18" s="34" t="s">
        <v>29</v>
      </c>
    </row>
    <row r="19" spans="1:4" s="41" customFormat="1">
      <c r="A19" s="39"/>
      <c r="B19" s="39"/>
      <c r="C19" s="40"/>
      <c r="D19" s="39"/>
    </row>
    <row r="20" spans="1:4" s="42" customFormat="1" ht="23.25">
      <c r="A20" s="35">
        <f>SUM('Adidas Sales Sample'!J:J)</f>
        <v>6211637</v>
      </c>
      <c r="B20" s="36">
        <v>2454413.5499999998</v>
      </c>
      <c r="C20" s="35">
        <f>SUM('Adidas Sales Sample'!I:I)</f>
        <v>127710</v>
      </c>
      <c r="D20" s="37">
        <f>AVERAGE('Adidas Sales Sample'!L:L)</f>
        <v>0.42369999999999963</v>
      </c>
    </row>
    <row r="25" spans="1:4">
      <c r="C25" s="43"/>
    </row>
    <row r="38" spans="1:1" ht="33" customHeight="1"/>
    <row r="42" spans="1:1">
      <c r="A42" s="44" t="s">
        <v>30</v>
      </c>
    </row>
    <row r="43" spans="1:1">
      <c r="A43" s="44" t="s">
        <v>31</v>
      </c>
    </row>
    <row r="44" spans="1:1">
      <c r="A44" s="44" t="s">
        <v>32</v>
      </c>
    </row>
    <row r="45" spans="1:1">
      <c r="A45" s="44" t="s">
        <v>33</v>
      </c>
    </row>
    <row r="86" spans="1:2">
      <c r="A86" s="45" t="s">
        <v>15</v>
      </c>
      <c r="B86" s="46" t="s">
        <v>16</v>
      </c>
    </row>
    <row r="87" spans="1:2">
      <c r="A87" s="46" t="s">
        <v>17</v>
      </c>
      <c r="B87" s="46">
        <v>179569.09</v>
      </c>
    </row>
    <row r="88" spans="1:2">
      <c r="A88" s="46" t="s">
        <v>18</v>
      </c>
      <c r="B88" s="46">
        <v>605616.94000000029</v>
      </c>
    </row>
    <row r="89" spans="1:2">
      <c r="A89" s="46" t="s">
        <v>19</v>
      </c>
      <c r="B89" s="46">
        <v>234588.26000000004</v>
      </c>
    </row>
    <row r="90" spans="1:2">
      <c r="A90" s="46" t="s">
        <v>20</v>
      </c>
      <c r="B90" s="46">
        <v>600974.29</v>
      </c>
    </row>
    <row r="91" spans="1:2">
      <c r="A91" s="46" t="s">
        <v>21</v>
      </c>
      <c r="B91" s="46">
        <v>212331.98</v>
      </c>
    </row>
    <row r="92" spans="1:2">
      <c r="A92" s="46" t="s">
        <v>22</v>
      </c>
      <c r="B92" s="46">
        <v>621332.98999999987</v>
      </c>
    </row>
    <row r="93" spans="1:2">
      <c r="A93" s="46" t="s">
        <v>7</v>
      </c>
      <c r="B93" s="46">
        <v>2454413.5500000003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workbookViewId="0">
      <pane ySplit="1" topLeftCell="A2" activePane="bottomLeft" state="frozen"/>
      <selection pane="bottomLeft" activeCell="S14" sqref="S14"/>
    </sheetView>
  </sheetViews>
  <sheetFormatPr defaultRowHeight="15"/>
  <cols>
    <col min="1" max="1" width="18" style="4" customWidth="1"/>
    <col min="2" max="2" width="13" style="4" customWidth="1"/>
    <col min="3" max="3" width="15" style="4" customWidth="1"/>
    <col min="4" max="4" width="13" style="4" customWidth="1"/>
    <col min="5" max="6" width="16" style="4" customWidth="1"/>
    <col min="7" max="7" width="26" style="4" customWidth="1"/>
    <col min="8" max="8" width="15.28515625" style="4" bestFit="1" customWidth="1"/>
    <col min="9" max="9" width="12.28515625" style="4" bestFit="1" customWidth="1"/>
    <col min="10" max="10" width="16" style="4" customWidth="1"/>
    <col min="11" max="11" width="18" style="4" customWidth="1"/>
    <col min="12" max="12" width="18.5703125" style="4" bestFit="1" customWidth="1"/>
    <col min="13" max="13" width="15.140625" style="4" bestFit="1" customWidth="1"/>
    <col min="14" max="16384" width="9.140625" style="4"/>
  </cols>
  <sheetData>
    <row r="1" spans="1:13" ht="30" customHeight="1">
      <c r="A1" s="1" t="s">
        <v>15</v>
      </c>
      <c r="B1" s="2" t="s">
        <v>34</v>
      </c>
      <c r="C1" s="2" t="s">
        <v>35</v>
      </c>
      <c r="D1" s="2" t="s">
        <v>0</v>
      </c>
      <c r="E1" s="2" t="s">
        <v>36</v>
      </c>
      <c r="F1" s="2" t="s">
        <v>37</v>
      </c>
      <c r="G1" s="2" t="s">
        <v>8</v>
      </c>
      <c r="H1" s="2" t="s">
        <v>38</v>
      </c>
      <c r="I1" s="2" t="s">
        <v>28</v>
      </c>
      <c r="J1" s="2" t="s">
        <v>26</v>
      </c>
      <c r="K1" s="2" t="s">
        <v>39</v>
      </c>
      <c r="L1" s="2" t="s">
        <v>24</v>
      </c>
      <c r="M1" s="3" t="s">
        <v>40</v>
      </c>
    </row>
    <row r="2" spans="1:13">
      <c r="A2" s="5" t="s">
        <v>22</v>
      </c>
      <c r="B2" s="6">
        <v>1004</v>
      </c>
      <c r="C2" s="7">
        <v>44238</v>
      </c>
      <c r="D2" s="6" t="s">
        <v>6</v>
      </c>
      <c r="E2" s="7" t="s">
        <v>41</v>
      </c>
      <c r="F2" s="7" t="s">
        <v>42</v>
      </c>
      <c r="G2" s="7" t="s">
        <v>13</v>
      </c>
      <c r="H2" s="7">
        <v>16</v>
      </c>
      <c r="I2" s="7">
        <v>93</v>
      </c>
      <c r="J2" s="7">
        <v>1488</v>
      </c>
      <c r="K2" s="7">
        <v>624.96</v>
      </c>
      <c r="L2" s="7">
        <v>0.42</v>
      </c>
      <c r="M2" s="8" t="s">
        <v>43</v>
      </c>
    </row>
    <row r="3" spans="1:13">
      <c r="A3" s="9" t="s">
        <v>17</v>
      </c>
      <c r="B3" s="10">
        <v>1006</v>
      </c>
      <c r="C3" s="11">
        <v>44369</v>
      </c>
      <c r="D3" s="10" t="s">
        <v>5</v>
      </c>
      <c r="E3" s="11" t="s">
        <v>44</v>
      </c>
      <c r="F3" s="11" t="s">
        <v>45</v>
      </c>
      <c r="G3" s="11" t="s">
        <v>11</v>
      </c>
      <c r="H3" s="11">
        <v>40</v>
      </c>
      <c r="I3" s="11">
        <v>525</v>
      </c>
      <c r="J3" s="11">
        <v>21000</v>
      </c>
      <c r="K3" s="11">
        <v>8400</v>
      </c>
      <c r="L3" s="11">
        <v>0.4</v>
      </c>
      <c r="M3" s="12" t="s">
        <v>46</v>
      </c>
    </row>
    <row r="4" spans="1:13">
      <c r="A4" s="5" t="s">
        <v>20</v>
      </c>
      <c r="B4" s="6">
        <v>1003</v>
      </c>
      <c r="C4" s="7">
        <v>44271</v>
      </c>
      <c r="D4" s="6" t="s">
        <v>5</v>
      </c>
      <c r="E4" s="7" t="s">
        <v>47</v>
      </c>
      <c r="F4" s="7" t="s">
        <v>48</v>
      </c>
      <c r="G4" s="7" t="s">
        <v>12</v>
      </c>
      <c r="H4" s="7">
        <v>48</v>
      </c>
      <c r="I4" s="7">
        <v>131</v>
      </c>
      <c r="J4" s="7">
        <v>6288</v>
      </c>
      <c r="K4" s="7">
        <v>2955.36</v>
      </c>
      <c r="L4" s="7">
        <v>0.47</v>
      </c>
      <c r="M4" s="8" t="s">
        <v>43</v>
      </c>
    </row>
    <row r="5" spans="1:13">
      <c r="A5" s="9" t="s">
        <v>17</v>
      </c>
      <c r="B5" s="10">
        <v>1006</v>
      </c>
      <c r="C5" s="11">
        <v>44540</v>
      </c>
      <c r="D5" s="10" t="s">
        <v>3</v>
      </c>
      <c r="E5" s="11" t="s">
        <v>49</v>
      </c>
      <c r="F5" s="11" t="s">
        <v>50</v>
      </c>
      <c r="G5" s="11" t="s">
        <v>12</v>
      </c>
      <c r="H5" s="11">
        <v>60</v>
      </c>
      <c r="I5" s="11">
        <v>145</v>
      </c>
      <c r="J5" s="11">
        <v>8700</v>
      </c>
      <c r="K5" s="11">
        <v>4089</v>
      </c>
      <c r="L5" s="11">
        <v>0.47</v>
      </c>
      <c r="M5" s="12" t="s">
        <v>43</v>
      </c>
    </row>
    <row r="6" spans="1:13">
      <c r="A6" s="5" t="s">
        <v>20</v>
      </c>
      <c r="B6" s="6">
        <v>1003</v>
      </c>
      <c r="C6" s="7">
        <v>44512</v>
      </c>
      <c r="D6" s="6" t="s">
        <v>2</v>
      </c>
      <c r="E6" s="7" t="s">
        <v>51</v>
      </c>
      <c r="F6" s="7" t="s">
        <v>52</v>
      </c>
      <c r="G6" s="7" t="s">
        <v>10</v>
      </c>
      <c r="H6" s="7">
        <v>45</v>
      </c>
      <c r="I6" s="7">
        <v>250</v>
      </c>
      <c r="J6" s="7">
        <v>11250</v>
      </c>
      <c r="K6" s="7">
        <v>3375</v>
      </c>
      <c r="L6" s="7">
        <v>0.3</v>
      </c>
      <c r="M6" s="8" t="s">
        <v>46</v>
      </c>
    </row>
    <row r="7" spans="1:13">
      <c r="A7" s="9" t="s">
        <v>18</v>
      </c>
      <c r="B7" s="10">
        <v>1001</v>
      </c>
      <c r="C7" s="11">
        <v>44231</v>
      </c>
      <c r="D7" s="10" t="s">
        <v>4</v>
      </c>
      <c r="E7" s="11" t="s">
        <v>53</v>
      </c>
      <c r="F7" s="11" t="s">
        <v>54</v>
      </c>
      <c r="G7" s="11" t="s">
        <v>11</v>
      </c>
      <c r="H7" s="11">
        <v>23</v>
      </c>
      <c r="I7" s="11">
        <v>163</v>
      </c>
      <c r="J7" s="11">
        <v>3749</v>
      </c>
      <c r="K7" s="11">
        <v>1499.6</v>
      </c>
      <c r="L7" s="11">
        <v>0.4</v>
      </c>
      <c r="M7" s="12" t="s">
        <v>46</v>
      </c>
    </row>
    <row r="8" spans="1:13">
      <c r="A8" s="5" t="s">
        <v>18</v>
      </c>
      <c r="B8" s="6">
        <v>1001</v>
      </c>
      <c r="C8" s="7">
        <v>44386</v>
      </c>
      <c r="D8" s="6" t="s">
        <v>2</v>
      </c>
      <c r="E8" s="7" t="s">
        <v>55</v>
      </c>
      <c r="F8" s="7" t="s">
        <v>56</v>
      </c>
      <c r="G8" s="7" t="s">
        <v>10</v>
      </c>
      <c r="H8" s="7">
        <v>33</v>
      </c>
      <c r="I8" s="7">
        <v>56</v>
      </c>
      <c r="J8" s="7">
        <v>1848</v>
      </c>
      <c r="K8" s="7">
        <v>850.08</v>
      </c>
      <c r="L8" s="7">
        <v>0.46</v>
      </c>
      <c r="M8" s="8" t="s">
        <v>46</v>
      </c>
    </row>
    <row r="9" spans="1:13">
      <c r="A9" s="9" t="s">
        <v>20</v>
      </c>
      <c r="B9" s="10">
        <v>1003</v>
      </c>
      <c r="C9" s="11">
        <v>44330</v>
      </c>
      <c r="D9" s="10" t="s">
        <v>5</v>
      </c>
      <c r="E9" s="11" t="s">
        <v>57</v>
      </c>
      <c r="F9" s="11" t="s">
        <v>58</v>
      </c>
      <c r="G9" s="11" t="s">
        <v>10</v>
      </c>
      <c r="H9" s="11">
        <v>55</v>
      </c>
      <c r="I9" s="11">
        <v>400</v>
      </c>
      <c r="J9" s="11">
        <v>22000</v>
      </c>
      <c r="K9" s="11">
        <v>8800</v>
      </c>
      <c r="L9" s="11">
        <v>0.4</v>
      </c>
      <c r="M9" s="12" t="s">
        <v>46</v>
      </c>
    </row>
    <row r="10" spans="1:13">
      <c r="A10" s="5" t="s">
        <v>18</v>
      </c>
      <c r="B10" s="6">
        <v>1001</v>
      </c>
      <c r="C10" s="7">
        <v>44524</v>
      </c>
      <c r="D10" s="6" t="s">
        <v>5</v>
      </c>
      <c r="E10" s="7" t="s">
        <v>59</v>
      </c>
      <c r="F10" s="7" t="s">
        <v>60</v>
      </c>
      <c r="G10" s="7" t="s">
        <v>13</v>
      </c>
      <c r="H10" s="7">
        <v>36</v>
      </c>
      <c r="I10" s="7">
        <v>144</v>
      </c>
      <c r="J10" s="7">
        <v>5184</v>
      </c>
      <c r="K10" s="7">
        <v>2021.76</v>
      </c>
      <c r="L10" s="7">
        <v>0.39</v>
      </c>
      <c r="M10" s="8" t="s">
        <v>43</v>
      </c>
    </row>
    <row r="11" spans="1:13">
      <c r="A11" s="9" t="s">
        <v>18</v>
      </c>
      <c r="B11" s="10">
        <v>1001</v>
      </c>
      <c r="C11" s="11">
        <v>44278</v>
      </c>
      <c r="D11" s="10" t="s">
        <v>5</v>
      </c>
      <c r="E11" s="11" t="s">
        <v>59</v>
      </c>
      <c r="F11" s="11" t="s">
        <v>60</v>
      </c>
      <c r="G11" s="11" t="s">
        <v>13</v>
      </c>
      <c r="H11" s="11">
        <v>38</v>
      </c>
      <c r="I11" s="11">
        <v>78</v>
      </c>
      <c r="J11" s="11">
        <v>2964</v>
      </c>
      <c r="K11" s="11">
        <v>1155.96</v>
      </c>
      <c r="L11" s="11">
        <v>0.39</v>
      </c>
      <c r="M11" s="12" t="s">
        <v>43</v>
      </c>
    </row>
    <row r="12" spans="1:13">
      <c r="A12" s="5" t="s">
        <v>17</v>
      </c>
      <c r="B12" s="6">
        <v>1006</v>
      </c>
      <c r="C12" s="7">
        <v>44481</v>
      </c>
      <c r="D12" s="6" t="s">
        <v>4</v>
      </c>
      <c r="E12" s="7" t="s">
        <v>61</v>
      </c>
      <c r="F12" s="7" t="s">
        <v>62</v>
      </c>
      <c r="G12" s="7" t="s">
        <v>11</v>
      </c>
      <c r="H12" s="7">
        <v>27</v>
      </c>
      <c r="I12" s="7">
        <v>140</v>
      </c>
      <c r="J12" s="7">
        <v>3780</v>
      </c>
      <c r="K12" s="7">
        <v>1474.2</v>
      </c>
      <c r="L12" s="7">
        <v>0.39</v>
      </c>
      <c r="M12" s="8" t="s">
        <v>43</v>
      </c>
    </row>
    <row r="13" spans="1:13">
      <c r="A13" s="9" t="s">
        <v>21</v>
      </c>
      <c r="B13" s="10">
        <v>1002</v>
      </c>
      <c r="C13" s="11">
        <v>43953</v>
      </c>
      <c r="D13" s="10" t="s">
        <v>3</v>
      </c>
      <c r="E13" s="11" t="s">
        <v>63</v>
      </c>
      <c r="F13" s="11" t="s">
        <v>63</v>
      </c>
      <c r="G13" s="11" t="s">
        <v>12</v>
      </c>
      <c r="H13" s="11">
        <v>53</v>
      </c>
      <c r="I13" s="11">
        <v>322</v>
      </c>
      <c r="J13" s="11">
        <v>17066</v>
      </c>
      <c r="K13" s="11">
        <v>4778.4799999999996</v>
      </c>
      <c r="L13" s="11">
        <v>0.28000000000000003</v>
      </c>
      <c r="M13" s="12" t="s">
        <v>43</v>
      </c>
    </row>
    <row r="14" spans="1:13">
      <c r="A14" s="5" t="s">
        <v>21</v>
      </c>
      <c r="B14" s="6">
        <v>1002</v>
      </c>
      <c r="C14" s="7">
        <v>44457</v>
      </c>
      <c r="D14" s="6" t="s">
        <v>5</v>
      </c>
      <c r="E14" s="7" t="s">
        <v>47</v>
      </c>
      <c r="F14" s="7" t="s">
        <v>48</v>
      </c>
      <c r="G14" s="7" t="s">
        <v>9</v>
      </c>
      <c r="H14" s="7">
        <v>64</v>
      </c>
      <c r="I14" s="7">
        <v>74</v>
      </c>
      <c r="J14" s="7">
        <v>4736</v>
      </c>
      <c r="K14" s="7">
        <v>1468.16</v>
      </c>
      <c r="L14" s="7">
        <v>0.31</v>
      </c>
      <c r="M14" s="8" t="s">
        <v>46</v>
      </c>
    </row>
    <row r="15" spans="1:13">
      <c r="A15" s="9" t="s">
        <v>20</v>
      </c>
      <c r="B15" s="10">
        <v>1003</v>
      </c>
      <c r="C15" s="11">
        <v>44454</v>
      </c>
      <c r="D15" s="10" t="s">
        <v>4</v>
      </c>
      <c r="E15" s="11" t="s">
        <v>64</v>
      </c>
      <c r="F15" s="11" t="s">
        <v>65</v>
      </c>
      <c r="G15" s="11" t="s">
        <v>12</v>
      </c>
      <c r="H15" s="11">
        <v>42</v>
      </c>
      <c r="I15" s="11">
        <v>280</v>
      </c>
      <c r="J15" s="11">
        <v>11760</v>
      </c>
      <c r="K15" s="11">
        <v>6468</v>
      </c>
      <c r="L15" s="11">
        <v>0.55000000000000004</v>
      </c>
      <c r="M15" s="12" t="s">
        <v>43</v>
      </c>
    </row>
    <row r="16" spans="1:13">
      <c r="A16" s="5" t="s">
        <v>22</v>
      </c>
      <c r="B16" s="6">
        <v>1004</v>
      </c>
      <c r="C16" s="7">
        <v>44457</v>
      </c>
      <c r="D16" s="6" t="s">
        <v>4</v>
      </c>
      <c r="E16" s="7" t="s">
        <v>53</v>
      </c>
      <c r="F16" s="7" t="s">
        <v>54</v>
      </c>
      <c r="G16" s="7" t="s">
        <v>13</v>
      </c>
      <c r="H16" s="7">
        <v>41</v>
      </c>
      <c r="I16" s="7">
        <v>63</v>
      </c>
      <c r="J16" s="7">
        <v>2583</v>
      </c>
      <c r="K16" s="7">
        <v>1317.33</v>
      </c>
      <c r="L16" s="7">
        <v>0.51</v>
      </c>
      <c r="M16" s="8" t="s">
        <v>46</v>
      </c>
    </row>
    <row r="17" spans="1:13">
      <c r="A17" s="9" t="s">
        <v>19</v>
      </c>
      <c r="B17" s="10">
        <v>1005</v>
      </c>
      <c r="C17" s="11">
        <v>44328</v>
      </c>
      <c r="D17" s="10" t="s">
        <v>2</v>
      </c>
      <c r="E17" s="11" t="s">
        <v>66</v>
      </c>
      <c r="F17" s="11" t="s">
        <v>67</v>
      </c>
      <c r="G17" s="11" t="s">
        <v>10</v>
      </c>
      <c r="H17" s="11">
        <v>39</v>
      </c>
      <c r="I17" s="11">
        <v>77</v>
      </c>
      <c r="J17" s="11">
        <v>3003</v>
      </c>
      <c r="K17" s="11">
        <v>1441.44</v>
      </c>
      <c r="L17" s="11">
        <v>0.48</v>
      </c>
      <c r="M17" s="12" t="s">
        <v>46</v>
      </c>
    </row>
    <row r="18" spans="1:13">
      <c r="A18" s="5" t="s">
        <v>18</v>
      </c>
      <c r="B18" s="6">
        <v>1001</v>
      </c>
      <c r="C18" s="7">
        <v>44538</v>
      </c>
      <c r="D18" s="6" t="s">
        <v>2</v>
      </c>
      <c r="E18" s="7" t="s">
        <v>68</v>
      </c>
      <c r="F18" s="7" t="s">
        <v>69</v>
      </c>
      <c r="G18" s="7" t="s">
        <v>13</v>
      </c>
      <c r="H18" s="7">
        <v>47</v>
      </c>
      <c r="I18" s="7">
        <v>54</v>
      </c>
      <c r="J18" s="7">
        <v>2538</v>
      </c>
      <c r="K18" s="7">
        <v>1040.58</v>
      </c>
      <c r="L18" s="7">
        <v>0.41</v>
      </c>
      <c r="M18" s="8" t="s">
        <v>46</v>
      </c>
    </row>
    <row r="19" spans="1:13">
      <c r="A19" s="9" t="s">
        <v>19</v>
      </c>
      <c r="B19" s="10">
        <v>1005</v>
      </c>
      <c r="C19" s="11">
        <v>44549</v>
      </c>
      <c r="D19" s="10" t="s">
        <v>4</v>
      </c>
      <c r="E19" s="11" t="s">
        <v>70</v>
      </c>
      <c r="F19" s="11" t="s">
        <v>71</v>
      </c>
      <c r="G19" s="11" t="s">
        <v>11</v>
      </c>
      <c r="H19" s="11">
        <v>55</v>
      </c>
      <c r="I19" s="11">
        <v>200</v>
      </c>
      <c r="J19" s="11">
        <v>11000</v>
      </c>
      <c r="K19" s="11">
        <v>4620</v>
      </c>
      <c r="L19" s="11">
        <v>0.42</v>
      </c>
      <c r="M19" s="12" t="s">
        <v>43</v>
      </c>
    </row>
    <row r="20" spans="1:13">
      <c r="A20" s="5" t="s">
        <v>20</v>
      </c>
      <c r="B20" s="6">
        <v>1003</v>
      </c>
      <c r="C20" s="7">
        <v>44331</v>
      </c>
      <c r="D20" s="6" t="s">
        <v>2</v>
      </c>
      <c r="E20" s="7" t="s">
        <v>72</v>
      </c>
      <c r="F20" s="7" t="s">
        <v>73</v>
      </c>
      <c r="G20" s="7" t="s">
        <v>10</v>
      </c>
      <c r="H20" s="7">
        <v>50</v>
      </c>
      <c r="I20" s="7">
        <v>500</v>
      </c>
      <c r="J20" s="7">
        <v>25000</v>
      </c>
      <c r="K20" s="7">
        <v>10000</v>
      </c>
      <c r="L20" s="7">
        <v>0.4</v>
      </c>
      <c r="M20" s="8" t="s">
        <v>74</v>
      </c>
    </row>
    <row r="21" spans="1:13">
      <c r="A21" s="9" t="s">
        <v>20</v>
      </c>
      <c r="B21" s="10">
        <v>1003</v>
      </c>
      <c r="C21" s="11">
        <v>44536</v>
      </c>
      <c r="D21" s="10" t="s">
        <v>3</v>
      </c>
      <c r="E21" s="11" t="s">
        <v>75</v>
      </c>
      <c r="F21" s="11" t="s">
        <v>76</v>
      </c>
      <c r="G21" s="11" t="s">
        <v>13</v>
      </c>
      <c r="H21" s="11">
        <v>48</v>
      </c>
      <c r="I21" s="11">
        <v>65</v>
      </c>
      <c r="J21" s="11">
        <v>3120</v>
      </c>
      <c r="K21" s="11">
        <v>1560</v>
      </c>
      <c r="L21" s="11">
        <v>0.5</v>
      </c>
      <c r="M21" s="12" t="s">
        <v>46</v>
      </c>
    </row>
    <row r="22" spans="1:13">
      <c r="A22" s="5" t="s">
        <v>22</v>
      </c>
      <c r="B22" s="6">
        <v>1004</v>
      </c>
      <c r="C22" s="7">
        <v>44263</v>
      </c>
      <c r="D22" s="6" t="s">
        <v>3</v>
      </c>
      <c r="E22" s="7" t="s">
        <v>63</v>
      </c>
      <c r="F22" s="7" t="s">
        <v>77</v>
      </c>
      <c r="G22" s="7" t="s">
        <v>10</v>
      </c>
      <c r="H22" s="7">
        <v>45</v>
      </c>
      <c r="I22" s="7">
        <v>550</v>
      </c>
      <c r="J22" s="7">
        <v>24750</v>
      </c>
      <c r="K22" s="7">
        <v>8662.5</v>
      </c>
      <c r="L22" s="7">
        <v>0.35</v>
      </c>
      <c r="M22" s="8" t="s">
        <v>74</v>
      </c>
    </row>
    <row r="23" spans="1:13">
      <c r="A23" s="9" t="s">
        <v>20</v>
      </c>
      <c r="B23" s="10">
        <v>1003</v>
      </c>
      <c r="C23" s="11">
        <v>44036</v>
      </c>
      <c r="D23" s="10" t="s">
        <v>4</v>
      </c>
      <c r="E23" s="11" t="s">
        <v>64</v>
      </c>
      <c r="F23" s="11" t="s">
        <v>78</v>
      </c>
      <c r="G23" s="11" t="s">
        <v>12</v>
      </c>
      <c r="H23" s="11">
        <v>34</v>
      </c>
      <c r="I23" s="11">
        <v>203</v>
      </c>
      <c r="J23" s="11">
        <v>6902</v>
      </c>
      <c r="K23" s="11">
        <v>4417.28</v>
      </c>
      <c r="L23" s="11">
        <v>0.64</v>
      </c>
      <c r="M23" s="12" t="s">
        <v>46</v>
      </c>
    </row>
    <row r="24" spans="1:13">
      <c r="A24" s="5" t="s">
        <v>21</v>
      </c>
      <c r="B24" s="6">
        <v>1002</v>
      </c>
      <c r="C24" s="7">
        <v>44428</v>
      </c>
      <c r="D24" s="6" t="s">
        <v>4</v>
      </c>
      <c r="E24" s="7" t="s">
        <v>79</v>
      </c>
      <c r="F24" s="7" t="s">
        <v>80</v>
      </c>
      <c r="G24" s="7" t="s">
        <v>11</v>
      </c>
      <c r="H24" s="7">
        <v>55</v>
      </c>
      <c r="I24" s="7">
        <v>210</v>
      </c>
      <c r="J24" s="7">
        <v>11550</v>
      </c>
      <c r="K24" s="7">
        <v>6237</v>
      </c>
      <c r="L24" s="7">
        <v>0.54</v>
      </c>
      <c r="M24" s="8" t="s">
        <v>46</v>
      </c>
    </row>
    <row r="25" spans="1:13">
      <c r="A25" s="9" t="s">
        <v>20</v>
      </c>
      <c r="B25" s="10">
        <v>1003</v>
      </c>
      <c r="C25" s="11">
        <v>44458</v>
      </c>
      <c r="D25" s="10" t="s">
        <v>4</v>
      </c>
      <c r="E25" s="11" t="s">
        <v>61</v>
      </c>
      <c r="F25" s="11" t="s">
        <v>62</v>
      </c>
      <c r="G25" s="11" t="s">
        <v>10</v>
      </c>
      <c r="H25" s="11">
        <v>36</v>
      </c>
      <c r="I25" s="11">
        <v>173</v>
      </c>
      <c r="J25" s="11">
        <v>6228</v>
      </c>
      <c r="K25" s="11">
        <v>3425.4</v>
      </c>
      <c r="L25" s="11">
        <v>0.54999999999999993</v>
      </c>
      <c r="M25" s="12" t="s">
        <v>43</v>
      </c>
    </row>
    <row r="26" spans="1:13">
      <c r="A26" s="5" t="s">
        <v>18</v>
      </c>
      <c r="B26" s="6">
        <v>1001</v>
      </c>
      <c r="C26" s="7">
        <v>44519</v>
      </c>
      <c r="D26" s="6" t="s">
        <v>3</v>
      </c>
      <c r="E26" s="7" t="s">
        <v>81</v>
      </c>
      <c r="F26" s="7" t="s">
        <v>82</v>
      </c>
      <c r="G26" s="7" t="s">
        <v>9</v>
      </c>
      <c r="H26" s="7">
        <v>59</v>
      </c>
      <c r="I26" s="7">
        <v>31</v>
      </c>
      <c r="J26" s="7">
        <v>1829</v>
      </c>
      <c r="K26" s="7">
        <v>768.18</v>
      </c>
      <c r="L26" s="7">
        <v>0.42</v>
      </c>
      <c r="M26" s="8" t="s">
        <v>46</v>
      </c>
    </row>
    <row r="27" spans="1:13">
      <c r="A27" s="9" t="s">
        <v>20</v>
      </c>
      <c r="B27" s="10">
        <v>1003</v>
      </c>
      <c r="C27" s="11">
        <v>44209</v>
      </c>
      <c r="D27" s="10" t="s">
        <v>6</v>
      </c>
      <c r="E27" s="11" t="s">
        <v>83</v>
      </c>
      <c r="F27" s="11" t="s">
        <v>84</v>
      </c>
      <c r="G27" s="11" t="s">
        <v>12</v>
      </c>
      <c r="H27" s="11">
        <v>36</v>
      </c>
      <c r="I27" s="11">
        <v>117</v>
      </c>
      <c r="J27" s="11">
        <v>4212</v>
      </c>
      <c r="K27" s="11">
        <v>1642.68</v>
      </c>
      <c r="L27" s="11">
        <v>0.39</v>
      </c>
      <c r="M27" s="12" t="s">
        <v>46</v>
      </c>
    </row>
    <row r="28" spans="1:13">
      <c r="A28" s="5" t="s">
        <v>19</v>
      </c>
      <c r="B28" s="6">
        <v>1005</v>
      </c>
      <c r="C28" s="7">
        <v>44477</v>
      </c>
      <c r="D28" s="6" t="s">
        <v>3</v>
      </c>
      <c r="E28" s="7" t="s">
        <v>85</v>
      </c>
      <c r="F28" s="7" t="s">
        <v>86</v>
      </c>
      <c r="G28" s="7" t="s">
        <v>9</v>
      </c>
      <c r="H28" s="7">
        <v>58</v>
      </c>
      <c r="I28" s="7">
        <v>38</v>
      </c>
      <c r="J28" s="7">
        <v>2204</v>
      </c>
      <c r="K28" s="7">
        <v>903.64</v>
      </c>
      <c r="L28" s="7">
        <v>0.41</v>
      </c>
      <c r="M28" s="8" t="s">
        <v>46</v>
      </c>
    </row>
    <row r="29" spans="1:13">
      <c r="A29" s="9" t="s">
        <v>22</v>
      </c>
      <c r="B29" s="10">
        <v>1004</v>
      </c>
      <c r="C29" s="11">
        <v>43883</v>
      </c>
      <c r="D29" s="10" t="s">
        <v>6</v>
      </c>
      <c r="E29" s="11" t="s">
        <v>87</v>
      </c>
      <c r="F29" s="11" t="s">
        <v>88</v>
      </c>
      <c r="G29" s="11" t="s">
        <v>13</v>
      </c>
      <c r="H29" s="11">
        <v>58</v>
      </c>
      <c r="I29" s="11">
        <v>112</v>
      </c>
      <c r="J29" s="11">
        <v>6496</v>
      </c>
      <c r="K29" s="11">
        <v>2858.24</v>
      </c>
      <c r="L29" s="11">
        <v>0.44</v>
      </c>
      <c r="M29" s="12" t="s">
        <v>46</v>
      </c>
    </row>
    <row r="30" spans="1:13">
      <c r="A30" s="5" t="s">
        <v>22</v>
      </c>
      <c r="B30" s="6">
        <v>1004</v>
      </c>
      <c r="C30" s="7">
        <v>44517</v>
      </c>
      <c r="D30" s="6" t="s">
        <v>4</v>
      </c>
      <c r="E30" s="7" t="s">
        <v>53</v>
      </c>
      <c r="F30" s="7" t="s">
        <v>54</v>
      </c>
      <c r="G30" s="7" t="s">
        <v>13</v>
      </c>
      <c r="H30" s="7">
        <v>50</v>
      </c>
      <c r="I30" s="7">
        <v>500</v>
      </c>
      <c r="J30" s="7">
        <v>25000</v>
      </c>
      <c r="K30" s="7">
        <v>10000</v>
      </c>
      <c r="L30" s="7">
        <v>0.4</v>
      </c>
      <c r="M30" s="8" t="s">
        <v>46</v>
      </c>
    </row>
    <row r="31" spans="1:13">
      <c r="A31" s="9" t="s">
        <v>20</v>
      </c>
      <c r="B31" s="10">
        <v>1003</v>
      </c>
      <c r="C31" s="11">
        <v>44476</v>
      </c>
      <c r="D31" s="10" t="s">
        <v>4</v>
      </c>
      <c r="E31" s="11" t="s">
        <v>61</v>
      </c>
      <c r="F31" s="11" t="s">
        <v>62</v>
      </c>
      <c r="G31" s="11" t="s">
        <v>10</v>
      </c>
      <c r="H31" s="11">
        <v>60</v>
      </c>
      <c r="I31" s="11">
        <v>775</v>
      </c>
      <c r="J31" s="11">
        <v>46500</v>
      </c>
      <c r="K31" s="11">
        <v>23250</v>
      </c>
      <c r="L31" s="11">
        <v>0.49999999999999989</v>
      </c>
      <c r="M31" s="12" t="s">
        <v>43</v>
      </c>
    </row>
    <row r="32" spans="1:13">
      <c r="A32" s="5" t="s">
        <v>20</v>
      </c>
      <c r="B32" s="6">
        <v>1003</v>
      </c>
      <c r="C32" s="7">
        <v>44473</v>
      </c>
      <c r="D32" s="6" t="s">
        <v>5</v>
      </c>
      <c r="E32" s="7" t="s">
        <v>89</v>
      </c>
      <c r="F32" s="7" t="s">
        <v>90</v>
      </c>
      <c r="G32" s="7" t="s">
        <v>10</v>
      </c>
      <c r="H32" s="7">
        <v>33</v>
      </c>
      <c r="I32" s="7">
        <v>196</v>
      </c>
      <c r="J32" s="7">
        <v>6468</v>
      </c>
      <c r="K32" s="7">
        <v>2975.28</v>
      </c>
      <c r="L32" s="7">
        <v>0.46</v>
      </c>
      <c r="M32" s="8" t="s">
        <v>46</v>
      </c>
    </row>
    <row r="33" spans="1:13">
      <c r="A33" s="9" t="s">
        <v>18</v>
      </c>
      <c r="B33" s="10">
        <v>1001</v>
      </c>
      <c r="C33" s="11">
        <v>44394</v>
      </c>
      <c r="D33" s="10" t="s">
        <v>2</v>
      </c>
      <c r="E33" s="11" t="s">
        <v>91</v>
      </c>
      <c r="F33" s="11" t="s">
        <v>92</v>
      </c>
      <c r="G33" s="11" t="s">
        <v>9</v>
      </c>
      <c r="H33" s="11">
        <v>40</v>
      </c>
      <c r="I33" s="11">
        <v>375</v>
      </c>
      <c r="J33" s="11">
        <v>15000</v>
      </c>
      <c r="K33" s="11">
        <v>5250</v>
      </c>
      <c r="L33" s="11">
        <v>0.35</v>
      </c>
      <c r="M33" s="12" t="s">
        <v>74</v>
      </c>
    </row>
    <row r="34" spans="1:13">
      <c r="A34" s="5" t="s">
        <v>20</v>
      </c>
      <c r="B34" s="6">
        <v>1003</v>
      </c>
      <c r="C34" s="7">
        <v>44356</v>
      </c>
      <c r="D34" s="6" t="s">
        <v>2</v>
      </c>
      <c r="E34" s="7" t="s">
        <v>68</v>
      </c>
      <c r="F34" s="7" t="s">
        <v>69</v>
      </c>
      <c r="G34" s="7" t="s">
        <v>14</v>
      </c>
      <c r="H34" s="7">
        <v>27</v>
      </c>
      <c r="I34" s="7">
        <v>60</v>
      </c>
      <c r="J34" s="7">
        <v>1620</v>
      </c>
      <c r="K34" s="7">
        <v>648</v>
      </c>
      <c r="L34" s="7">
        <v>0.4</v>
      </c>
      <c r="M34" s="8" t="s">
        <v>46</v>
      </c>
    </row>
    <row r="35" spans="1:13">
      <c r="A35" s="9" t="s">
        <v>22</v>
      </c>
      <c r="B35" s="10">
        <v>1004</v>
      </c>
      <c r="C35" s="11">
        <v>44371</v>
      </c>
      <c r="D35" s="10" t="s">
        <v>6</v>
      </c>
      <c r="E35" s="11" t="s">
        <v>93</v>
      </c>
      <c r="F35" s="11" t="s">
        <v>94</v>
      </c>
      <c r="G35" s="11" t="s">
        <v>11</v>
      </c>
      <c r="H35" s="11">
        <v>51</v>
      </c>
      <c r="I35" s="11">
        <v>225</v>
      </c>
      <c r="J35" s="11">
        <v>11475</v>
      </c>
      <c r="K35" s="11">
        <v>5622.75</v>
      </c>
      <c r="L35" s="11">
        <v>0.49</v>
      </c>
      <c r="M35" s="12" t="s">
        <v>46</v>
      </c>
    </row>
    <row r="36" spans="1:13">
      <c r="A36" s="5" t="s">
        <v>17</v>
      </c>
      <c r="B36" s="6">
        <v>1006</v>
      </c>
      <c r="C36" s="7">
        <v>44502</v>
      </c>
      <c r="D36" s="6" t="s">
        <v>3</v>
      </c>
      <c r="E36" s="7" t="s">
        <v>95</v>
      </c>
      <c r="F36" s="7" t="s">
        <v>94</v>
      </c>
      <c r="G36" s="7" t="s">
        <v>13</v>
      </c>
      <c r="H36" s="7">
        <v>35</v>
      </c>
      <c r="I36" s="7">
        <v>75</v>
      </c>
      <c r="J36" s="7">
        <v>2625</v>
      </c>
      <c r="K36" s="7">
        <v>787.5</v>
      </c>
      <c r="L36" s="7">
        <v>0.3</v>
      </c>
      <c r="M36" s="8" t="s">
        <v>43</v>
      </c>
    </row>
    <row r="37" spans="1:13">
      <c r="A37" s="9" t="s">
        <v>19</v>
      </c>
      <c r="B37" s="10">
        <v>1005</v>
      </c>
      <c r="C37" s="11">
        <v>44196</v>
      </c>
      <c r="D37" s="10" t="s">
        <v>2</v>
      </c>
      <c r="E37" s="11" t="s">
        <v>96</v>
      </c>
      <c r="F37" s="11" t="s">
        <v>97</v>
      </c>
      <c r="G37" s="11" t="s">
        <v>13</v>
      </c>
      <c r="H37" s="11">
        <v>45</v>
      </c>
      <c r="I37" s="11">
        <v>325</v>
      </c>
      <c r="J37" s="11">
        <v>14625</v>
      </c>
      <c r="K37" s="11">
        <v>5850</v>
      </c>
      <c r="L37" s="11">
        <v>0.4</v>
      </c>
      <c r="M37" s="12" t="s">
        <v>43</v>
      </c>
    </row>
    <row r="38" spans="1:13">
      <c r="A38" s="5" t="s">
        <v>21</v>
      </c>
      <c r="B38" s="6">
        <v>1002</v>
      </c>
      <c r="C38" s="7">
        <v>44072</v>
      </c>
      <c r="D38" s="6" t="s">
        <v>4</v>
      </c>
      <c r="E38" s="7" t="s">
        <v>64</v>
      </c>
      <c r="F38" s="7" t="s">
        <v>78</v>
      </c>
      <c r="G38" s="7" t="s">
        <v>12</v>
      </c>
      <c r="H38" s="7">
        <v>47</v>
      </c>
      <c r="I38" s="7">
        <v>293</v>
      </c>
      <c r="J38" s="7">
        <v>13771</v>
      </c>
      <c r="K38" s="7">
        <v>8675.73</v>
      </c>
      <c r="L38" s="7">
        <v>0.63</v>
      </c>
      <c r="M38" s="8" t="s">
        <v>46</v>
      </c>
    </row>
    <row r="39" spans="1:13">
      <c r="A39" s="9" t="s">
        <v>22</v>
      </c>
      <c r="B39" s="10">
        <v>1004</v>
      </c>
      <c r="C39" s="11">
        <v>44303</v>
      </c>
      <c r="D39" s="10" t="s">
        <v>4</v>
      </c>
      <c r="E39" s="11" t="s">
        <v>53</v>
      </c>
      <c r="F39" s="11" t="s">
        <v>54</v>
      </c>
      <c r="G39" s="11" t="s">
        <v>10</v>
      </c>
      <c r="H39" s="11">
        <v>52</v>
      </c>
      <c r="I39" s="11">
        <v>88</v>
      </c>
      <c r="J39" s="11">
        <v>4576</v>
      </c>
      <c r="K39" s="11">
        <v>2288</v>
      </c>
      <c r="L39" s="11">
        <v>0.5</v>
      </c>
      <c r="M39" s="12" t="s">
        <v>46</v>
      </c>
    </row>
    <row r="40" spans="1:13">
      <c r="A40" s="5" t="s">
        <v>20</v>
      </c>
      <c r="B40" s="6">
        <v>1003</v>
      </c>
      <c r="C40" s="7">
        <v>44413</v>
      </c>
      <c r="D40" s="6" t="s">
        <v>4</v>
      </c>
      <c r="E40" s="7" t="s">
        <v>61</v>
      </c>
      <c r="F40" s="7" t="s">
        <v>62</v>
      </c>
      <c r="G40" s="7" t="s">
        <v>9</v>
      </c>
      <c r="H40" s="7">
        <v>37</v>
      </c>
      <c r="I40" s="7">
        <v>88</v>
      </c>
      <c r="J40" s="7">
        <v>3256</v>
      </c>
      <c r="K40" s="7">
        <v>1562.88</v>
      </c>
      <c r="L40" s="7">
        <v>0.48</v>
      </c>
      <c r="M40" s="8" t="s">
        <v>46</v>
      </c>
    </row>
    <row r="41" spans="1:13">
      <c r="A41" s="9" t="s">
        <v>18</v>
      </c>
      <c r="B41" s="10">
        <v>1001</v>
      </c>
      <c r="C41" s="11">
        <v>44518</v>
      </c>
      <c r="D41" s="10" t="s">
        <v>3</v>
      </c>
      <c r="E41" s="11" t="s">
        <v>98</v>
      </c>
      <c r="F41" s="11" t="s">
        <v>99</v>
      </c>
      <c r="G41" s="11" t="s">
        <v>12</v>
      </c>
      <c r="H41" s="11">
        <v>80</v>
      </c>
      <c r="I41" s="11">
        <v>400</v>
      </c>
      <c r="J41" s="11">
        <v>32000</v>
      </c>
      <c r="K41" s="11">
        <v>11200</v>
      </c>
      <c r="L41" s="11">
        <v>0.35</v>
      </c>
      <c r="M41" s="12" t="s">
        <v>43</v>
      </c>
    </row>
    <row r="42" spans="1:13">
      <c r="A42" s="5" t="s">
        <v>21</v>
      </c>
      <c r="B42" s="6">
        <v>1002</v>
      </c>
      <c r="C42" s="7">
        <v>43939</v>
      </c>
      <c r="D42" s="6" t="s">
        <v>3</v>
      </c>
      <c r="E42" s="7" t="s">
        <v>63</v>
      </c>
      <c r="F42" s="7" t="s">
        <v>63</v>
      </c>
      <c r="G42" s="7" t="s">
        <v>12</v>
      </c>
      <c r="H42" s="7">
        <v>48</v>
      </c>
      <c r="I42" s="7">
        <v>355</v>
      </c>
      <c r="J42" s="7">
        <v>17040</v>
      </c>
      <c r="K42" s="7">
        <v>5112</v>
      </c>
      <c r="L42" s="7">
        <v>0.3</v>
      </c>
      <c r="M42" s="8" t="s">
        <v>43</v>
      </c>
    </row>
    <row r="43" spans="1:13">
      <c r="A43" s="9" t="s">
        <v>20</v>
      </c>
      <c r="B43" s="10">
        <v>1003</v>
      </c>
      <c r="C43" s="11">
        <v>44467</v>
      </c>
      <c r="D43" s="10" t="s">
        <v>4</v>
      </c>
      <c r="E43" s="11" t="s">
        <v>64</v>
      </c>
      <c r="F43" s="11" t="s">
        <v>65</v>
      </c>
      <c r="G43" s="11" t="s">
        <v>11</v>
      </c>
      <c r="H43" s="11">
        <v>53</v>
      </c>
      <c r="I43" s="11">
        <v>181</v>
      </c>
      <c r="J43" s="11">
        <v>9593</v>
      </c>
      <c r="K43" s="11">
        <v>5276.15</v>
      </c>
      <c r="L43" s="11">
        <v>0.54999999999999993</v>
      </c>
      <c r="M43" s="12" t="s">
        <v>46</v>
      </c>
    </row>
    <row r="44" spans="1:13">
      <c r="A44" s="5" t="s">
        <v>19</v>
      </c>
      <c r="B44" s="6">
        <v>1005</v>
      </c>
      <c r="C44" s="7">
        <v>44235</v>
      </c>
      <c r="D44" s="6" t="s">
        <v>3</v>
      </c>
      <c r="E44" s="7" t="s">
        <v>85</v>
      </c>
      <c r="F44" s="7" t="s">
        <v>86</v>
      </c>
      <c r="G44" s="7" t="s">
        <v>9</v>
      </c>
      <c r="H44" s="7">
        <v>45</v>
      </c>
      <c r="I44" s="7">
        <v>175</v>
      </c>
      <c r="J44" s="7">
        <v>7875</v>
      </c>
      <c r="K44" s="7">
        <v>2362.5</v>
      </c>
      <c r="L44" s="7">
        <v>0.3</v>
      </c>
      <c r="M44" s="8" t="s">
        <v>74</v>
      </c>
    </row>
    <row r="45" spans="1:13">
      <c r="A45" s="9" t="s">
        <v>17</v>
      </c>
      <c r="B45" s="10">
        <v>1006</v>
      </c>
      <c r="C45" s="11">
        <v>44491</v>
      </c>
      <c r="D45" s="10" t="s">
        <v>5</v>
      </c>
      <c r="E45" s="11" t="s">
        <v>44</v>
      </c>
      <c r="F45" s="11" t="s">
        <v>45</v>
      </c>
      <c r="G45" s="11" t="s">
        <v>9</v>
      </c>
      <c r="H45" s="11">
        <v>55</v>
      </c>
      <c r="I45" s="11">
        <v>150</v>
      </c>
      <c r="J45" s="11">
        <v>8250</v>
      </c>
      <c r="K45" s="11">
        <v>2887.5</v>
      </c>
      <c r="L45" s="11">
        <v>0.35</v>
      </c>
      <c r="M45" s="12" t="s">
        <v>46</v>
      </c>
    </row>
    <row r="46" spans="1:13">
      <c r="A46" s="5" t="s">
        <v>18</v>
      </c>
      <c r="B46" s="6">
        <v>1001</v>
      </c>
      <c r="C46" s="7">
        <v>44477</v>
      </c>
      <c r="D46" s="6" t="s">
        <v>3</v>
      </c>
      <c r="E46" s="7" t="s">
        <v>75</v>
      </c>
      <c r="F46" s="7" t="s">
        <v>76</v>
      </c>
      <c r="G46" s="7" t="s">
        <v>10</v>
      </c>
      <c r="H46" s="7">
        <v>46</v>
      </c>
      <c r="I46" s="7">
        <v>56</v>
      </c>
      <c r="J46" s="7">
        <v>2576</v>
      </c>
      <c r="K46" s="7">
        <v>1262.24</v>
      </c>
      <c r="L46" s="7">
        <v>0.49</v>
      </c>
      <c r="M46" s="8" t="s">
        <v>46</v>
      </c>
    </row>
    <row r="47" spans="1:13">
      <c r="A47" s="9" t="s">
        <v>20</v>
      </c>
      <c r="B47" s="10">
        <v>1003</v>
      </c>
      <c r="C47" s="11">
        <v>44300</v>
      </c>
      <c r="D47" s="10" t="s">
        <v>3</v>
      </c>
      <c r="E47" s="11" t="s">
        <v>100</v>
      </c>
      <c r="F47" s="11" t="s">
        <v>101</v>
      </c>
      <c r="G47" s="11" t="s">
        <v>14</v>
      </c>
      <c r="H47" s="11">
        <v>29</v>
      </c>
      <c r="I47" s="11">
        <v>41</v>
      </c>
      <c r="J47" s="11">
        <v>1189</v>
      </c>
      <c r="K47" s="11">
        <v>416.15</v>
      </c>
      <c r="L47" s="11">
        <v>0.35</v>
      </c>
      <c r="M47" s="12" t="s">
        <v>46</v>
      </c>
    </row>
    <row r="48" spans="1:13">
      <c r="A48" s="5" t="s">
        <v>20</v>
      </c>
      <c r="B48" s="6">
        <v>1003</v>
      </c>
      <c r="C48" s="7">
        <v>44536</v>
      </c>
      <c r="D48" s="6" t="s">
        <v>3</v>
      </c>
      <c r="E48" s="7" t="s">
        <v>75</v>
      </c>
      <c r="F48" s="7" t="s">
        <v>76</v>
      </c>
      <c r="G48" s="7" t="s">
        <v>14</v>
      </c>
      <c r="H48" s="7">
        <v>47</v>
      </c>
      <c r="I48" s="7">
        <v>74</v>
      </c>
      <c r="J48" s="7">
        <v>3478</v>
      </c>
      <c r="K48" s="7">
        <v>1773.78</v>
      </c>
      <c r="L48" s="7">
        <v>0.51</v>
      </c>
      <c r="M48" s="8" t="s">
        <v>46</v>
      </c>
    </row>
    <row r="49" spans="1:13">
      <c r="A49" s="9" t="s">
        <v>22</v>
      </c>
      <c r="B49" s="10">
        <v>1004</v>
      </c>
      <c r="C49" s="11">
        <v>43859</v>
      </c>
      <c r="D49" s="10" t="s">
        <v>6</v>
      </c>
      <c r="E49" s="11" t="s">
        <v>87</v>
      </c>
      <c r="F49" s="11" t="s">
        <v>88</v>
      </c>
      <c r="G49" s="11" t="s">
        <v>13</v>
      </c>
      <c r="H49" s="11">
        <v>47</v>
      </c>
      <c r="I49" s="11">
        <v>105</v>
      </c>
      <c r="J49" s="11">
        <v>4935</v>
      </c>
      <c r="K49" s="11">
        <v>2270.1</v>
      </c>
      <c r="L49" s="11">
        <v>0.46</v>
      </c>
      <c r="M49" s="12" t="s">
        <v>43</v>
      </c>
    </row>
    <row r="50" spans="1:13">
      <c r="A50" s="5" t="s">
        <v>22</v>
      </c>
      <c r="B50" s="6">
        <v>1004</v>
      </c>
      <c r="C50" s="7">
        <v>44271</v>
      </c>
      <c r="D50" s="6" t="s">
        <v>4</v>
      </c>
      <c r="E50" s="7" t="s">
        <v>53</v>
      </c>
      <c r="F50" s="7" t="s">
        <v>54</v>
      </c>
      <c r="G50" s="7" t="s">
        <v>13</v>
      </c>
      <c r="H50" s="7">
        <v>43</v>
      </c>
      <c r="I50" s="7">
        <v>96</v>
      </c>
      <c r="J50" s="7">
        <v>4128</v>
      </c>
      <c r="K50" s="7">
        <v>1775.04</v>
      </c>
      <c r="L50" s="7">
        <v>0.42999999999999988</v>
      </c>
      <c r="M50" s="8" t="s">
        <v>43</v>
      </c>
    </row>
    <row r="51" spans="1:13">
      <c r="A51" s="9" t="s">
        <v>20</v>
      </c>
      <c r="B51" s="10">
        <v>1003</v>
      </c>
      <c r="C51" s="11">
        <v>44449</v>
      </c>
      <c r="D51" s="10" t="s">
        <v>2</v>
      </c>
      <c r="E51" s="11" t="s">
        <v>68</v>
      </c>
      <c r="F51" s="11" t="s">
        <v>69</v>
      </c>
      <c r="G51" s="11" t="s">
        <v>9</v>
      </c>
      <c r="H51" s="11">
        <v>40</v>
      </c>
      <c r="I51" s="11">
        <v>150</v>
      </c>
      <c r="J51" s="11">
        <v>6000</v>
      </c>
      <c r="K51" s="11">
        <v>2100</v>
      </c>
      <c r="L51" s="11">
        <v>0.35</v>
      </c>
      <c r="M51" s="12" t="s">
        <v>74</v>
      </c>
    </row>
    <row r="52" spans="1:13">
      <c r="A52" s="5" t="s">
        <v>22</v>
      </c>
      <c r="B52" s="6">
        <v>1004</v>
      </c>
      <c r="C52" s="7">
        <v>43874</v>
      </c>
      <c r="D52" s="6" t="s">
        <v>6</v>
      </c>
      <c r="E52" s="7" t="s">
        <v>87</v>
      </c>
      <c r="F52" s="7" t="s">
        <v>88</v>
      </c>
      <c r="G52" s="7" t="s">
        <v>11</v>
      </c>
      <c r="H52" s="7">
        <v>65</v>
      </c>
      <c r="I52" s="7">
        <v>700</v>
      </c>
      <c r="J52" s="7">
        <v>45500</v>
      </c>
      <c r="K52" s="7">
        <v>18200</v>
      </c>
      <c r="L52" s="7">
        <v>0.4</v>
      </c>
      <c r="M52" s="8" t="s">
        <v>74</v>
      </c>
    </row>
    <row r="53" spans="1:13">
      <c r="A53" s="9" t="s">
        <v>20</v>
      </c>
      <c r="B53" s="10">
        <v>1003</v>
      </c>
      <c r="C53" s="11">
        <v>44362</v>
      </c>
      <c r="D53" s="10" t="s">
        <v>3</v>
      </c>
      <c r="E53" s="11" t="s">
        <v>100</v>
      </c>
      <c r="F53" s="11" t="s">
        <v>101</v>
      </c>
      <c r="G53" s="11" t="s">
        <v>14</v>
      </c>
      <c r="H53" s="11">
        <v>36</v>
      </c>
      <c r="I53" s="11">
        <v>75</v>
      </c>
      <c r="J53" s="11">
        <v>2700</v>
      </c>
      <c r="K53" s="11">
        <v>837</v>
      </c>
      <c r="L53" s="11">
        <v>0.31</v>
      </c>
      <c r="M53" s="12" t="s">
        <v>43</v>
      </c>
    </row>
    <row r="54" spans="1:13">
      <c r="A54" s="5" t="s">
        <v>20</v>
      </c>
      <c r="B54" s="6">
        <v>1003</v>
      </c>
      <c r="C54" s="7">
        <v>44466</v>
      </c>
      <c r="D54" s="6" t="s">
        <v>4</v>
      </c>
      <c r="E54" s="7" t="s">
        <v>64</v>
      </c>
      <c r="F54" s="7" t="s">
        <v>65</v>
      </c>
      <c r="G54" s="7" t="s">
        <v>12</v>
      </c>
      <c r="H54" s="7">
        <v>60</v>
      </c>
      <c r="I54" s="7">
        <v>775</v>
      </c>
      <c r="J54" s="7">
        <v>46500</v>
      </c>
      <c r="K54" s="7">
        <v>25575</v>
      </c>
      <c r="L54" s="7">
        <v>0.55000000000000004</v>
      </c>
      <c r="M54" s="8" t="s">
        <v>43</v>
      </c>
    </row>
    <row r="55" spans="1:13">
      <c r="A55" s="9" t="s">
        <v>18</v>
      </c>
      <c r="B55" s="10">
        <v>1001</v>
      </c>
      <c r="C55" s="11">
        <v>43907</v>
      </c>
      <c r="D55" s="10" t="s">
        <v>3</v>
      </c>
      <c r="E55" s="11" t="s">
        <v>63</v>
      </c>
      <c r="F55" s="11" t="s">
        <v>63</v>
      </c>
      <c r="G55" s="11" t="s">
        <v>10</v>
      </c>
      <c r="H55" s="11">
        <v>53</v>
      </c>
      <c r="I55" s="11">
        <v>308</v>
      </c>
      <c r="J55" s="11">
        <v>16324</v>
      </c>
      <c r="K55" s="11">
        <v>6692.84</v>
      </c>
      <c r="L55" s="11">
        <v>0.41</v>
      </c>
      <c r="M55" s="12" t="s">
        <v>46</v>
      </c>
    </row>
    <row r="56" spans="1:13">
      <c r="A56" s="5" t="s">
        <v>22</v>
      </c>
      <c r="B56" s="6">
        <v>1004</v>
      </c>
      <c r="C56" s="7">
        <v>44386</v>
      </c>
      <c r="D56" s="6" t="s">
        <v>2</v>
      </c>
      <c r="E56" s="7" t="s">
        <v>102</v>
      </c>
      <c r="F56" s="7" t="s">
        <v>103</v>
      </c>
      <c r="G56" s="7" t="s">
        <v>14</v>
      </c>
      <c r="H56" s="7">
        <v>45</v>
      </c>
      <c r="I56" s="7">
        <v>225</v>
      </c>
      <c r="J56" s="7">
        <v>10125</v>
      </c>
      <c r="K56" s="7">
        <v>3543.75</v>
      </c>
      <c r="L56" s="7">
        <v>0.35</v>
      </c>
      <c r="M56" s="8" t="s">
        <v>74</v>
      </c>
    </row>
    <row r="57" spans="1:13">
      <c r="A57" s="9" t="s">
        <v>18</v>
      </c>
      <c r="B57" s="10">
        <v>1001</v>
      </c>
      <c r="C57" s="11">
        <v>44366</v>
      </c>
      <c r="D57" s="10" t="s">
        <v>2</v>
      </c>
      <c r="E57" s="11" t="s">
        <v>55</v>
      </c>
      <c r="F57" s="11" t="s">
        <v>56</v>
      </c>
      <c r="G57" s="11" t="s">
        <v>12</v>
      </c>
      <c r="H57" s="11">
        <v>51</v>
      </c>
      <c r="I57" s="11">
        <v>41</v>
      </c>
      <c r="J57" s="11">
        <v>2091</v>
      </c>
      <c r="K57" s="11">
        <v>1296.42</v>
      </c>
      <c r="L57" s="11">
        <v>0.62</v>
      </c>
      <c r="M57" s="12" t="s">
        <v>46</v>
      </c>
    </row>
    <row r="58" spans="1:13">
      <c r="A58" s="5" t="s">
        <v>18</v>
      </c>
      <c r="B58" s="6">
        <v>1001</v>
      </c>
      <c r="C58" s="7">
        <v>44322</v>
      </c>
      <c r="D58" s="6" t="s">
        <v>3</v>
      </c>
      <c r="E58" s="7" t="s">
        <v>75</v>
      </c>
      <c r="F58" s="7" t="s">
        <v>76</v>
      </c>
      <c r="G58" s="7" t="s">
        <v>9</v>
      </c>
      <c r="H58" s="7">
        <v>50</v>
      </c>
      <c r="I58" s="7">
        <v>175</v>
      </c>
      <c r="J58" s="7">
        <v>8750</v>
      </c>
      <c r="K58" s="7">
        <v>2625</v>
      </c>
      <c r="L58" s="7">
        <v>0.3</v>
      </c>
      <c r="M58" s="8" t="s">
        <v>74</v>
      </c>
    </row>
    <row r="59" spans="1:13">
      <c r="A59" s="9" t="s">
        <v>21</v>
      </c>
      <c r="B59" s="10">
        <v>1002</v>
      </c>
      <c r="C59" s="11">
        <v>43954</v>
      </c>
      <c r="D59" s="10" t="s">
        <v>3</v>
      </c>
      <c r="E59" s="11" t="s">
        <v>63</v>
      </c>
      <c r="F59" s="11" t="s">
        <v>63</v>
      </c>
      <c r="G59" s="11" t="s">
        <v>11</v>
      </c>
      <c r="H59" s="11">
        <v>48</v>
      </c>
      <c r="I59" s="11">
        <v>420</v>
      </c>
      <c r="J59" s="11">
        <v>20160</v>
      </c>
      <c r="K59" s="11">
        <v>11289.6</v>
      </c>
      <c r="L59" s="11">
        <v>0.56000000000000005</v>
      </c>
      <c r="M59" s="12" t="s">
        <v>43</v>
      </c>
    </row>
    <row r="60" spans="1:13">
      <c r="A60" s="5" t="s">
        <v>18</v>
      </c>
      <c r="B60" s="6">
        <v>1001</v>
      </c>
      <c r="C60" s="7">
        <v>44458</v>
      </c>
      <c r="D60" s="6" t="s">
        <v>2</v>
      </c>
      <c r="E60" s="7" t="s">
        <v>91</v>
      </c>
      <c r="F60" s="7" t="s">
        <v>92</v>
      </c>
      <c r="G60" s="7" t="s">
        <v>13</v>
      </c>
      <c r="H60" s="7">
        <v>14</v>
      </c>
      <c r="I60" s="7">
        <v>83</v>
      </c>
      <c r="J60" s="7">
        <v>1162</v>
      </c>
      <c r="K60" s="7">
        <v>615.86</v>
      </c>
      <c r="L60" s="7">
        <v>0.53</v>
      </c>
      <c r="M60" s="8" t="s">
        <v>46</v>
      </c>
    </row>
    <row r="61" spans="1:13">
      <c r="A61" s="9" t="s">
        <v>20</v>
      </c>
      <c r="B61" s="10">
        <v>1003</v>
      </c>
      <c r="C61" s="11">
        <v>44298</v>
      </c>
      <c r="D61" s="10" t="s">
        <v>4</v>
      </c>
      <c r="E61" s="11" t="s">
        <v>104</v>
      </c>
      <c r="F61" s="11" t="s">
        <v>105</v>
      </c>
      <c r="G61" s="11" t="s">
        <v>13</v>
      </c>
      <c r="H61" s="11">
        <v>40</v>
      </c>
      <c r="I61" s="11">
        <v>600</v>
      </c>
      <c r="J61" s="11">
        <v>24000</v>
      </c>
      <c r="K61" s="11">
        <v>12000</v>
      </c>
      <c r="L61" s="11">
        <v>0.5</v>
      </c>
      <c r="M61" s="12" t="s">
        <v>43</v>
      </c>
    </row>
    <row r="62" spans="1:13">
      <c r="A62" s="5" t="s">
        <v>22</v>
      </c>
      <c r="B62" s="6">
        <v>1004</v>
      </c>
      <c r="C62" s="7">
        <v>44289</v>
      </c>
      <c r="D62" s="6" t="s">
        <v>2</v>
      </c>
      <c r="E62" s="7" t="s">
        <v>106</v>
      </c>
      <c r="F62" s="7" t="s">
        <v>107</v>
      </c>
      <c r="G62" s="7" t="s">
        <v>11</v>
      </c>
      <c r="H62" s="7">
        <v>18</v>
      </c>
      <c r="I62" s="7">
        <v>122</v>
      </c>
      <c r="J62" s="7">
        <v>2196</v>
      </c>
      <c r="K62" s="7">
        <v>900.36</v>
      </c>
      <c r="L62" s="7">
        <v>0.41</v>
      </c>
      <c r="M62" s="8" t="s">
        <v>46</v>
      </c>
    </row>
    <row r="63" spans="1:13">
      <c r="A63" s="9" t="s">
        <v>22</v>
      </c>
      <c r="B63" s="10">
        <v>1004</v>
      </c>
      <c r="C63" s="11">
        <v>44432</v>
      </c>
      <c r="D63" s="10" t="s">
        <v>6</v>
      </c>
      <c r="E63" s="11" t="s">
        <v>93</v>
      </c>
      <c r="F63" s="11" t="s">
        <v>94</v>
      </c>
      <c r="G63" s="11" t="s">
        <v>12</v>
      </c>
      <c r="H63" s="11">
        <v>69</v>
      </c>
      <c r="I63" s="11">
        <v>73</v>
      </c>
      <c r="J63" s="11">
        <v>5037</v>
      </c>
      <c r="K63" s="11">
        <v>2216.2800000000002</v>
      </c>
      <c r="L63" s="11">
        <v>0.44</v>
      </c>
      <c r="M63" s="12" t="s">
        <v>46</v>
      </c>
    </row>
    <row r="64" spans="1:13">
      <c r="A64" s="5" t="s">
        <v>17</v>
      </c>
      <c r="B64" s="6">
        <v>1006</v>
      </c>
      <c r="C64" s="7">
        <v>44521</v>
      </c>
      <c r="D64" s="6" t="s">
        <v>6</v>
      </c>
      <c r="E64" s="7" t="s">
        <v>108</v>
      </c>
      <c r="F64" s="7" t="s">
        <v>109</v>
      </c>
      <c r="G64" s="7" t="s">
        <v>13</v>
      </c>
      <c r="H64" s="7">
        <v>65</v>
      </c>
      <c r="I64" s="7">
        <v>300</v>
      </c>
      <c r="J64" s="7">
        <v>19500</v>
      </c>
      <c r="K64" s="7">
        <v>4875</v>
      </c>
      <c r="L64" s="7">
        <v>0.25</v>
      </c>
      <c r="M64" s="8" t="s">
        <v>43</v>
      </c>
    </row>
    <row r="65" spans="1:13">
      <c r="A65" s="9" t="s">
        <v>20</v>
      </c>
      <c r="B65" s="10">
        <v>1003</v>
      </c>
      <c r="C65" s="11">
        <v>44397</v>
      </c>
      <c r="D65" s="10" t="s">
        <v>3</v>
      </c>
      <c r="E65" s="11" t="s">
        <v>110</v>
      </c>
      <c r="F65" s="11" t="s">
        <v>111</v>
      </c>
      <c r="G65" s="11" t="s">
        <v>14</v>
      </c>
      <c r="H65" s="11">
        <v>37</v>
      </c>
      <c r="I65" s="11">
        <v>60</v>
      </c>
      <c r="J65" s="11">
        <v>2220</v>
      </c>
      <c r="K65" s="11">
        <v>1087.8</v>
      </c>
      <c r="L65" s="11">
        <v>0.49</v>
      </c>
      <c r="M65" s="12" t="s">
        <v>46</v>
      </c>
    </row>
    <row r="66" spans="1:13">
      <c r="A66" s="5" t="s">
        <v>22</v>
      </c>
      <c r="B66" s="6">
        <v>1004</v>
      </c>
      <c r="C66" s="7">
        <v>44417</v>
      </c>
      <c r="D66" s="6" t="s">
        <v>3</v>
      </c>
      <c r="E66" s="7" t="s">
        <v>63</v>
      </c>
      <c r="F66" s="7" t="s">
        <v>77</v>
      </c>
      <c r="G66" s="7" t="s">
        <v>14</v>
      </c>
      <c r="H66" s="7">
        <v>55</v>
      </c>
      <c r="I66" s="7">
        <v>625</v>
      </c>
      <c r="J66" s="7">
        <v>34375</v>
      </c>
      <c r="K66" s="7">
        <v>8593.75</v>
      </c>
      <c r="L66" s="7">
        <v>0.25</v>
      </c>
      <c r="M66" s="8" t="s">
        <v>74</v>
      </c>
    </row>
    <row r="67" spans="1:13">
      <c r="A67" s="9" t="s">
        <v>22</v>
      </c>
      <c r="B67" s="10">
        <v>1004</v>
      </c>
      <c r="C67" s="11">
        <v>43839</v>
      </c>
      <c r="D67" s="10" t="s">
        <v>6</v>
      </c>
      <c r="E67" s="11" t="s">
        <v>87</v>
      </c>
      <c r="F67" s="11" t="s">
        <v>88</v>
      </c>
      <c r="G67" s="11" t="s">
        <v>10</v>
      </c>
      <c r="H67" s="11">
        <v>45</v>
      </c>
      <c r="I67" s="11">
        <v>425</v>
      </c>
      <c r="J67" s="11">
        <v>19125</v>
      </c>
      <c r="K67" s="11">
        <v>4781.25</v>
      </c>
      <c r="L67" s="11">
        <v>0.25</v>
      </c>
      <c r="M67" s="12" t="s">
        <v>43</v>
      </c>
    </row>
    <row r="68" spans="1:13">
      <c r="A68" s="5" t="s">
        <v>18</v>
      </c>
      <c r="B68" s="6">
        <v>1001</v>
      </c>
      <c r="C68" s="7">
        <v>44231</v>
      </c>
      <c r="D68" s="6" t="s">
        <v>4</v>
      </c>
      <c r="E68" s="7" t="s">
        <v>53</v>
      </c>
      <c r="F68" s="7" t="s">
        <v>54</v>
      </c>
      <c r="G68" s="7" t="s">
        <v>10</v>
      </c>
      <c r="H68" s="7">
        <v>32</v>
      </c>
      <c r="I68" s="7">
        <v>174</v>
      </c>
      <c r="J68" s="7">
        <v>5568</v>
      </c>
      <c r="K68" s="7">
        <v>2338.56</v>
      </c>
      <c r="L68" s="7">
        <v>0.42</v>
      </c>
      <c r="M68" s="8" t="s">
        <v>46</v>
      </c>
    </row>
    <row r="69" spans="1:13">
      <c r="A69" s="9" t="s">
        <v>22</v>
      </c>
      <c r="B69" s="10">
        <v>1004</v>
      </c>
      <c r="C69" s="11">
        <v>44457</v>
      </c>
      <c r="D69" s="10" t="s">
        <v>3</v>
      </c>
      <c r="E69" s="11" t="s">
        <v>112</v>
      </c>
      <c r="F69" s="11" t="s">
        <v>113</v>
      </c>
      <c r="G69" s="11" t="s">
        <v>9</v>
      </c>
      <c r="H69" s="11">
        <v>35</v>
      </c>
      <c r="I69" s="11">
        <v>225</v>
      </c>
      <c r="J69" s="11">
        <v>7875</v>
      </c>
      <c r="K69" s="11">
        <v>3150</v>
      </c>
      <c r="L69" s="11">
        <v>0.4</v>
      </c>
      <c r="M69" s="12" t="s">
        <v>74</v>
      </c>
    </row>
    <row r="70" spans="1:13">
      <c r="A70" s="5" t="s">
        <v>22</v>
      </c>
      <c r="B70" s="6">
        <v>1004</v>
      </c>
      <c r="C70" s="7">
        <v>44386</v>
      </c>
      <c r="D70" s="6" t="s">
        <v>2</v>
      </c>
      <c r="E70" s="7" t="s">
        <v>102</v>
      </c>
      <c r="F70" s="7" t="s">
        <v>103</v>
      </c>
      <c r="G70" s="7" t="s">
        <v>10</v>
      </c>
      <c r="H70" s="7">
        <v>49</v>
      </c>
      <c r="I70" s="7">
        <v>84</v>
      </c>
      <c r="J70" s="7">
        <v>4116</v>
      </c>
      <c r="K70" s="7">
        <v>2058</v>
      </c>
      <c r="L70" s="7">
        <v>0.5</v>
      </c>
      <c r="M70" s="8" t="s">
        <v>46</v>
      </c>
    </row>
    <row r="71" spans="1:13">
      <c r="A71" s="9" t="s">
        <v>22</v>
      </c>
      <c r="B71" s="10">
        <v>1004</v>
      </c>
      <c r="C71" s="11">
        <v>43935</v>
      </c>
      <c r="D71" s="10" t="s">
        <v>6</v>
      </c>
      <c r="E71" s="11" t="s">
        <v>114</v>
      </c>
      <c r="F71" s="11" t="s">
        <v>115</v>
      </c>
      <c r="G71" s="11" t="s">
        <v>11</v>
      </c>
      <c r="H71" s="11">
        <v>54</v>
      </c>
      <c r="I71" s="11">
        <v>189</v>
      </c>
      <c r="J71" s="11">
        <v>10206</v>
      </c>
      <c r="K71" s="11">
        <v>6531.84</v>
      </c>
      <c r="L71" s="11">
        <v>0.64</v>
      </c>
      <c r="M71" s="12" t="s">
        <v>46</v>
      </c>
    </row>
    <row r="72" spans="1:13">
      <c r="A72" s="5" t="s">
        <v>18</v>
      </c>
      <c r="B72" s="6">
        <v>1001</v>
      </c>
      <c r="C72" s="7">
        <v>44133</v>
      </c>
      <c r="D72" s="6" t="s">
        <v>2</v>
      </c>
      <c r="E72" s="7" t="s">
        <v>96</v>
      </c>
      <c r="F72" s="7" t="s">
        <v>97</v>
      </c>
      <c r="G72" s="7" t="s">
        <v>11</v>
      </c>
      <c r="H72" s="7">
        <v>39</v>
      </c>
      <c r="I72" s="7">
        <v>116</v>
      </c>
      <c r="J72" s="7">
        <v>4524</v>
      </c>
      <c r="K72" s="7">
        <v>2262</v>
      </c>
      <c r="L72" s="7">
        <v>0.5</v>
      </c>
      <c r="M72" s="8" t="s">
        <v>46</v>
      </c>
    </row>
    <row r="73" spans="1:13">
      <c r="A73" s="9" t="s">
        <v>18</v>
      </c>
      <c r="B73" s="10">
        <v>1001</v>
      </c>
      <c r="C73" s="11">
        <v>44220</v>
      </c>
      <c r="D73" s="10" t="s">
        <v>3</v>
      </c>
      <c r="E73" s="11" t="s">
        <v>98</v>
      </c>
      <c r="F73" s="11" t="s">
        <v>99</v>
      </c>
      <c r="G73" s="11" t="s">
        <v>12</v>
      </c>
      <c r="H73" s="11">
        <v>54</v>
      </c>
      <c r="I73" s="11">
        <v>78</v>
      </c>
      <c r="J73" s="11">
        <v>4212</v>
      </c>
      <c r="K73" s="11">
        <v>1895.4</v>
      </c>
      <c r="L73" s="11">
        <v>0.45</v>
      </c>
      <c r="M73" s="12" t="s">
        <v>46</v>
      </c>
    </row>
    <row r="74" spans="1:13">
      <c r="A74" s="5" t="s">
        <v>21</v>
      </c>
      <c r="B74" s="6">
        <v>1002</v>
      </c>
      <c r="C74" s="7">
        <v>44455</v>
      </c>
      <c r="D74" s="6" t="s">
        <v>4</v>
      </c>
      <c r="E74" s="7" t="s">
        <v>116</v>
      </c>
      <c r="F74" s="7" t="s">
        <v>117</v>
      </c>
      <c r="G74" s="7" t="s">
        <v>9</v>
      </c>
      <c r="H74" s="7">
        <v>29</v>
      </c>
      <c r="I74" s="7">
        <v>108</v>
      </c>
      <c r="J74" s="7">
        <v>3132</v>
      </c>
      <c r="K74" s="7">
        <v>1503.36</v>
      </c>
      <c r="L74" s="7">
        <v>0.48</v>
      </c>
      <c r="M74" s="8" t="s">
        <v>46</v>
      </c>
    </row>
    <row r="75" spans="1:13">
      <c r="A75" s="9" t="s">
        <v>22</v>
      </c>
      <c r="B75" s="10">
        <v>1004</v>
      </c>
      <c r="C75" s="11">
        <v>44220</v>
      </c>
      <c r="D75" s="10" t="s">
        <v>6</v>
      </c>
      <c r="E75" s="11" t="s">
        <v>41</v>
      </c>
      <c r="F75" s="11" t="s">
        <v>42</v>
      </c>
      <c r="G75" s="11" t="s">
        <v>12</v>
      </c>
      <c r="H75" s="11">
        <v>39</v>
      </c>
      <c r="I75" s="11">
        <v>108</v>
      </c>
      <c r="J75" s="11">
        <v>4212</v>
      </c>
      <c r="K75" s="11">
        <v>1811.16</v>
      </c>
      <c r="L75" s="11">
        <v>0.43</v>
      </c>
      <c r="M75" s="12" t="s">
        <v>46</v>
      </c>
    </row>
    <row r="76" spans="1:13">
      <c r="A76" s="5" t="s">
        <v>22</v>
      </c>
      <c r="B76" s="6">
        <v>1004</v>
      </c>
      <c r="C76" s="7">
        <v>44364</v>
      </c>
      <c r="D76" s="6" t="s">
        <v>4</v>
      </c>
      <c r="E76" s="7" t="s">
        <v>53</v>
      </c>
      <c r="F76" s="7" t="s">
        <v>54</v>
      </c>
      <c r="G76" s="7" t="s">
        <v>13</v>
      </c>
      <c r="H76" s="7">
        <v>82</v>
      </c>
      <c r="I76" s="7">
        <v>161</v>
      </c>
      <c r="J76" s="7">
        <v>13202</v>
      </c>
      <c r="K76" s="7">
        <v>7261.1</v>
      </c>
      <c r="L76" s="7">
        <v>0.54999999999999993</v>
      </c>
      <c r="M76" s="8" t="s">
        <v>46</v>
      </c>
    </row>
    <row r="77" spans="1:13">
      <c r="A77" s="9" t="s">
        <v>20</v>
      </c>
      <c r="B77" s="10">
        <v>1003</v>
      </c>
      <c r="C77" s="11">
        <v>44421</v>
      </c>
      <c r="D77" s="10" t="s">
        <v>5</v>
      </c>
      <c r="E77" s="11" t="s">
        <v>57</v>
      </c>
      <c r="F77" s="11" t="s">
        <v>58</v>
      </c>
      <c r="G77" s="11" t="s">
        <v>9</v>
      </c>
      <c r="H77" s="11">
        <v>60</v>
      </c>
      <c r="I77" s="11">
        <v>126</v>
      </c>
      <c r="J77" s="11">
        <v>7560</v>
      </c>
      <c r="K77" s="11">
        <v>3628.8</v>
      </c>
      <c r="L77" s="11">
        <v>0.48</v>
      </c>
      <c r="M77" s="12" t="s">
        <v>46</v>
      </c>
    </row>
    <row r="78" spans="1:13">
      <c r="A78" s="5" t="s">
        <v>20</v>
      </c>
      <c r="B78" s="6">
        <v>1003</v>
      </c>
      <c r="C78" s="7">
        <v>44242</v>
      </c>
      <c r="D78" s="6" t="s">
        <v>3</v>
      </c>
      <c r="E78" s="7" t="s">
        <v>100</v>
      </c>
      <c r="F78" s="7" t="s">
        <v>101</v>
      </c>
      <c r="G78" s="7" t="s">
        <v>13</v>
      </c>
      <c r="H78" s="7">
        <v>32</v>
      </c>
      <c r="I78" s="7">
        <v>68</v>
      </c>
      <c r="J78" s="7">
        <v>2176</v>
      </c>
      <c r="K78" s="7">
        <v>826.88</v>
      </c>
      <c r="L78" s="7">
        <v>0.38</v>
      </c>
      <c r="M78" s="8" t="s">
        <v>46</v>
      </c>
    </row>
    <row r="79" spans="1:13">
      <c r="A79" s="9" t="s">
        <v>17</v>
      </c>
      <c r="B79" s="10">
        <v>1006</v>
      </c>
      <c r="C79" s="11">
        <v>44522</v>
      </c>
      <c r="D79" s="10" t="s">
        <v>5</v>
      </c>
      <c r="E79" s="11" t="s">
        <v>44</v>
      </c>
      <c r="F79" s="11" t="s">
        <v>45</v>
      </c>
      <c r="G79" s="11" t="s">
        <v>10</v>
      </c>
      <c r="H79" s="11">
        <v>39</v>
      </c>
      <c r="I79" s="11">
        <v>72</v>
      </c>
      <c r="J79" s="11">
        <v>2808</v>
      </c>
      <c r="K79" s="11">
        <v>1319.76</v>
      </c>
      <c r="L79" s="11">
        <v>0.47</v>
      </c>
      <c r="M79" s="12" t="s">
        <v>46</v>
      </c>
    </row>
    <row r="80" spans="1:13">
      <c r="A80" s="5" t="s">
        <v>18</v>
      </c>
      <c r="B80" s="6">
        <v>1001</v>
      </c>
      <c r="C80" s="7">
        <v>43854</v>
      </c>
      <c r="D80" s="6" t="s">
        <v>3</v>
      </c>
      <c r="E80" s="7" t="s">
        <v>63</v>
      </c>
      <c r="F80" s="7" t="s">
        <v>63</v>
      </c>
      <c r="G80" s="7" t="s">
        <v>12</v>
      </c>
      <c r="H80" s="7">
        <v>50</v>
      </c>
      <c r="I80" s="7">
        <v>1000</v>
      </c>
      <c r="J80" s="7">
        <v>50000</v>
      </c>
      <c r="K80" s="7">
        <v>12500</v>
      </c>
      <c r="L80" s="7">
        <v>0.25</v>
      </c>
      <c r="M80" s="8" t="s">
        <v>43</v>
      </c>
    </row>
    <row r="81" spans="1:13">
      <c r="A81" s="9" t="s">
        <v>19</v>
      </c>
      <c r="B81" s="10">
        <v>1005</v>
      </c>
      <c r="C81" s="11">
        <v>44520</v>
      </c>
      <c r="D81" s="10" t="s">
        <v>4</v>
      </c>
      <c r="E81" s="11" t="s">
        <v>70</v>
      </c>
      <c r="F81" s="11" t="s">
        <v>71</v>
      </c>
      <c r="G81" s="11" t="s">
        <v>11</v>
      </c>
      <c r="H81" s="11">
        <v>16</v>
      </c>
      <c r="I81" s="11">
        <v>166</v>
      </c>
      <c r="J81" s="11">
        <v>2656</v>
      </c>
      <c r="K81" s="11">
        <v>1168.6400000000001</v>
      </c>
      <c r="L81" s="11">
        <v>0.44</v>
      </c>
      <c r="M81" s="12" t="s">
        <v>43</v>
      </c>
    </row>
    <row r="82" spans="1:13">
      <c r="A82" s="5" t="s">
        <v>17</v>
      </c>
      <c r="B82" s="6">
        <v>1006</v>
      </c>
      <c r="C82" s="7">
        <v>44547</v>
      </c>
      <c r="D82" s="6" t="s">
        <v>3</v>
      </c>
      <c r="E82" s="7" t="s">
        <v>95</v>
      </c>
      <c r="F82" s="7" t="s">
        <v>94</v>
      </c>
      <c r="G82" s="7" t="s">
        <v>10</v>
      </c>
      <c r="H82" s="7">
        <v>55</v>
      </c>
      <c r="I82" s="7">
        <v>275</v>
      </c>
      <c r="J82" s="7">
        <v>15125</v>
      </c>
      <c r="K82" s="7">
        <v>5293.75</v>
      </c>
      <c r="L82" s="7">
        <v>0.35</v>
      </c>
      <c r="M82" s="8" t="s">
        <v>43</v>
      </c>
    </row>
    <row r="83" spans="1:13">
      <c r="A83" s="9" t="s">
        <v>20</v>
      </c>
      <c r="B83" s="10">
        <v>1003</v>
      </c>
      <c r="C83" s="11">
        <v>44454</v>
      </c>
      <c r="D83" s="10" t="s">
        <v>2</v>
      </c>
      <c r="E83" s="11" t="s">
        <v>72</v>
      </c>
      <c r="F83" s="11" t="s">
        <v>73</v>
      </c>
      <c r="G83" s="11" t="s">
        <v>13</v>
      </c>
      <c r="H83" s="11">
        <v>35</v>
      </c>
      <c r="I83" s="11">
        <v>475</v>
      </c>
      <c r="J83" s="11">
        <v>16625</v>
      </c>
      <c r="K83" s="11">
        <v>5818.75</v>
      </c>
      <c r="L83" s="11">
        <v>0.35</v>
      </c>
      <c r="M83" s="12" t="s">
        <v>74</v>
      </c>
    </row>
    <row r="84" spans="1:13">
      <c r="A84" s="5" t="s">
        <v>17</v>
      </c>
      <c r="B84" s="6">
        <v>1006</v>
      </c>
      <c r="C84" s="7">
        <v>44547</v>
      </c>
      <c r="D84" s="6" t="s">
        <v>3</v>
      </c>
      <c r="E84" s="7" t="s">
        <v>95</v>
      </c>
      <c r="F84" s="7" t="s">
        <v>94</v>
      </c>
      <c r="G84" s="7" t="s">
        <v>14</v>
      </c>
      <c r="H84" s="7">
        <v>52</v>
      </c>
      <c r="I84" s="7">
        <v>68</v>
      </c>
      <c r="J84" s="7">
        <v>3536</v>
      </c>
      <c r="K84" s="7">
        <v>1768</v>
      </c>
      <c r="L84" s="7">
        <v>0.5</v>
      </c>
      <c r="M84" s="8" t="s">
        <v>46</v>
      </c>
    </row>
    <row r="85" spans="1:13">
      <c r="A85" s="9" t="s">
        <v>22</v>
      </c>
      <c r="B85" s="10">
        <v>1004</v>
      </c>
      <c r="C85" s="11">
        <v>44041</v>
      </c>
      <c r="D85" s="10" t="s">
        <v>6</v>
      </c>
      <c r="E85" s="11" t="s">
        <v>118</v>
      </c>
      <c r="F85" s="11" t="s">
        <v>119</v>
      </c>
      <c r="G85" s="11" t="s">
        <v>9</v>
      </c>
      <c r="H85" s="11">
        <v>85</v>
      </c>
      <c r="I85" s="11">
        <v>115</v>
      </c>
      <c r="J85" s="11">
        <v>9775</v>
      </c>
      <c r="K85" s="11">
        <v>3910</v>
      </c>
      <c r="L85" s="11">
        <v>0.4</v>
      </c>
      <c r="M85" s="12" t="s">
        <v>46</v>
      </c>
    </row>
    <row r="86" spans="1:13">
      <c r="A86" s="5" t="s">
        <v>19</v>
      </c>
      <c r="B86" s="6">
        <v>1005</v>
      </c>
      <c r="C86" s="7">
        <v>44538</v>
      </c>
      <c r="D86" s="6" t="s">
        <v>3</v>
      </c>
      <c r="E86" s="7" t="s">
        <v>63</v>
      </c>
      <c r="F86" s="7" t="s">
        <v>77</v>
      </c>
      <c r="G86" s="7" t="s">
        <v>14</v>
      </c>
      <c r="H86" s="7">
        <v>55</v>
      </c>
      <c r="I86" s="7">
        <v>625</v>
      </c>
      <c r="J86" s="7">
        <v>34375</v>
      </c>
      <c r="K86" s="7">
        <v>8593.75</v>
      </c>
      <c r="L86" s="7">
        <v>0.25</v>
      </c>
      <c r="M86" s="8" t="s">
        <v>74</v>
      </c>
    </row>
    <row r="87" spans="1:13">
      <c r="A87" s="9" t="s">
        <v>22</v>
      </c>
      <c r="B87" s="10">
        <v>1004</v>
      </c>
      <c r="C87" s="11">
        <v>44351</v>
      </c>
      <c r="D87" s="10" t="s">
        <v>6</v>
      </c>
      <c r="E87" s="11" t="s">
        <v>120</v>
      </c>
      <c r="F87" s="11" t="s">
        <v>121</v>
      </c>
      <c r="G87" s="11" t="s">
        <v>9</v>
      </c>
      <c r="H87" s="11">
        <v>43</v>
      </c>
      <c r="I87" s="11">
        <v>158</v>
      </c>
      <c r="J87" s="11">
        <v>6794</v>
      </c>
      <c r="K87" s="11">
        <v>2309.96</v>
      </c>
      <c r="L87" s="11">
        <v>0.34</v>
      </c>
      <c r="M87" s="12" t="s">
        <v>43</v>
      </c>
    </row>
    <row r="88" spans="1:13">
      <c r="A88" s="5" t="s">
        <v>21</v>
      </c>
      <c r="B88" s="6">
        <v>1002</v>
      </c>
      <c r="C88" s="7">
        <v>44083</v>
      </c>
      <c r="D88" s="6" t="s">
        <v>4</v>
      </c>
      <c r="E88" s="7" t="s">
        <v>64</v>
      </c>
      <c r="F88" s="7" t="s">
        <v>78</v>
      </c>
      <c r="G88" s="7" t="s">
        <v>9</v>
      </c>
      <c r="H88" s="7">
        <v>36</v>
      </c>
      <c r="I88" s="7">
        <v>206</v>
      </c>
      <c r="J88" s="7">
        <v>7416</v>
      </c>
      <c r="K88" s="7">
        <v>2669.76</v>
      </c>
      <c r="L88" s="7">
        <v>0.36</v>
      </c>
      <c r="M88" s="8" t="s">
        <v>43</v>
      </c>
    </row>
    <row r="89" spans="1:13">
      <c r="A89" s="9" t="s">
        <v>20</v>
      </c>
      <c r="B89" s="10">
        <v>1003</v>
      </c>
      <c r="C89" s="11">
        <v>44419</v>
      </c>
      <c r="D89" s="10" t="s">
        <v>4</v>
      </c>
      <c r="E89" s="11" t="s">
        <v>61</v>
      </c>
      <c r="F89" s="11" t="s">
        <v>62</v>
      </c>
      <c r="G89" s="11" t="s">
        <v>9</v>
      </c>
      <c r="H89" s="11">
        <v>38</v>
      </c>
      <c r="I89" s="11">
        <v>68</v>
      </c>
      <c r="J89" s="11">
        <v>2584</v>
      </c>
      <c r="K89" s="11">
        <v>1240.32</v>
      </c>
      <c r="L89" s="11">
        <v>0.48</v>
      </c>
      <c r="M89" s="12" t="s">
        <v>46</v>
      </c>
    </row>
    <row r="90" spans="1:13">
      <c r="A90" s="5" t="s">
        <v>20</v>
      </c>
      <c r="B90" s="6">
        <v>1003</v>
      </c>
      <c r="C90" s="7">
        <v>44505</v>
      </c>
      <c r="D90" s="6" t="s">
        <v>6</v>
      </c>
      <c r="E90" s="7" t="s">
        <v>120</v>
      </c>
      <c r="F90" s="7" t="s">
        <v>121</v>
      </c>
      <c r="G90" s="7" t="s">
        <v>9</v>
      </c>
      <c r="H90" s="7">
        <v>41</v>
      </c>
      <c r="I90" s="7">
        <v>149</v>
      </c>
      <c r="J90" s="7">
        <v>6109</v>
      </c>
      <c r="K90" s="7">
        <v>2321.42</v>
      </c>
      <c r="L90" s="7">
        <v>0.38</v>
      </c>
      <c r="M90" s="8" t="s">
        <v>43</v>
      </c>
    </row>
    <row r="91" spans="1:13">
      <c r="A91" s="9" t="s">
        <v>18</v>
      </c>
      <c r="B91" s="10">
        <v>1001</v>
      </c>
      <c r="C91" s="11">
        <v>44354</v>
      </c>
      <c r="D91" s="10" t="s">
        <v>5</v>
      </c>
      <c r="E91" s="11" t="s">
        <v>122</v>
      </c>
      <c r="F91" s="11" t="s">
        <v>113</v>
      </c>
      <c r="G91" s="11" t="s">
        <v>11</v>
      </c>
      <c r="H91" s="11">
        <v>55</v>
      </c>
      <c r="I91" s="11">
        <v>1050</v>
      </c>
      <c r="J91" s="11">
        <v>57750</v>
      </c>
      <c r="K91" s="11">
        <v>25987.5</v>
      </c>
      <c r="L91" s="11">
        <v>0.45</v>
      </c>
      <c r="M91" s="12" t="s">
        <v>46</v>
      </c>
    </row>
    <row r="92" spans="1:13">
      <c r="A92" s="5" t="s">
        <v>18</v>
      </c>
      <c r="B92" s="6">
        <v>1001</v>
      </c>
      <c r="C92" s="7">
        <v>44329</v>
      </c>
      <c r="D92" s="6" t="s">
        <v>2</v>
      </c>
      <c r="E92" s="7" t="s">
        <v>51</v>
      </c>
      <c r="F92" s="7" t="s">
        <v>52</v>
      </c>
      <c r="G92" s="7" t="s">
        <v>11</v>
      </c>
      <c r="H92" s="7">
        <v>60</v>
      </c>
      <c r="I92" s="7">
        <v>495</v>
      </c>
      <c r="J92" s="7">
        <v>29700</v>
      </c>
      <c r="K92" s="7">
        <v>10395</v>
      </c>
      <c r="L92" s="7">
        <v>0.35</v>
      </c>
      <c r="M92" s="8" t="s">
        <v>46</v>
      </c>
    </row>
    <row r="93" spans="1:13">
      <c r="A93" s="9" t="s">
        <v>20</v>
      </c>
      <c r="B93" s="10">
        <v>1003</v>
      </c>
      <c r="C93" s="11">
        <v>44426</v>
      </c>
      <c r="D93" s="10" t="s">
        <v>4</v>
      </c>
      <c r="E93" s="11" t="s">
        <v>61</v>
      </c>
      <c r="F93" s="11" t="s">
        <v>62</v>
      </c>
      <c r="G93" s="11" t="s">
        <v>12</v>
      </c>
      <c r="H93" s="11">
        <v>26</v>
      </c>
      <c r="I93" s="11">
        <v>120</v>
      </c>
      <c r="J93" s="11">
        <v>3120</v>
      </c>
      <c r="K93" s="11">
        <v>2059.1999999999998</v>
      </c>
      <c r="L93" s="11">
        <v>0.66000000000000014</v>
      </c>
      <c r="M93" s="12" t="s">
        <v>43</v>
      </c>
    </row>
    <row r="94" spans="1:13">
      <c r="A94" s="5" t="s">
        <v>17</v>
      </c>
      <c r="B94" s="6">
        <v>1006</v>
      </c>
      <c r="C94" s="7">
        <v>44264</v>
      </c>
      <c r="D94" s="6" t="s">
        <v>2</v>
      </c>
      <c r="E94" s="7" t="s">
        <v>123</v>
      </c>
      <c r="F94" s="7" t="s">
        <v>124</v>
      </c>
      <c r="G94" s="7" t="s">
        <v>12</v>
      </c>
      <c r="H94" s="7">
        <v>30</v>
      </c>
      <c r="I94" s="7">
        <v>475</v>
      </c>
      <c r="J94" s="7">
        <v>14250</v>
      </c>
      <c r="K94" s="7">
        <v>7125</v>
      </c>
      <c r="L94" s="7">
        <v>0.5</v>
      </c>
      <c r="M94" s="8" t="s">
        <v>46</v>
      </c>
    </row>
    <row r="95" spans="1:13">
      <c r="A95" s="9" t="s">
        <v>20</v>
      </c>
      <c r="B95" s="10">
        <v>1003</v>
      </c>
      <c r="C95" s="11">
        <v>44270</v>
      </c>
      <c r="D95" s="10" t="s">
        <v>2</v>
      </c>
      <c r="E95" s="11" t="s">
        <v>72</v>
      </c>
      <c r="F95" s="11" t="s">
        <v>73</v>
      </c>
      <c r="G95" s="11" t="s">
        <v>11</v>
      </c>
      <c r="H95" s="11">
        <v>34</v>
      </c>
      <c r="I95" s="11">
        <v>216</v>
      </c>
      <c r="J95" s="11">
        <v>7344</v>
      </c>
      <c r="K95" s="11">
        <v>4479.84</v>
      </c>
      <c r="L95" s="11">
        <v>0.61</v>
      </c>
      <c r="M95" s="12" t="s">
        <v>46</v>
      </c>
    </row>
    <row r="96" spans="1:13">
      <c r="A96" s="5" t="s">
        <v>21</v>
      </c>
      <c r="B96" s="6">
        <v>1002</v>
      </c>
      <c r="C96" s="7">
        <v>44425</v>
      </c>
      <c r="D96" s="6" t="s">
        <v>5</v>
      </c>
      <c r="E96" s="7" t="s">
        <v>47</v>
      </c>
      <c r="F96" s="7" t="s">
        <v>48</v>
      </c>
      <c r="G96" s="7" t="s">
        <v>14</v>
      </c>
      <c r="H96" s="7">
        <v>62</v>
      </c>
      <c r="I96" s="7">
        <v>231</v>
      </c>
      <c r="J96" s="7">
        <v>14322</v>
      </c>
      <c r="K96" s="7">
        <v>4726.26</v>
      </c>
      <c r="L96" s="7">
        <v>0.33</v>
      </c>
      <c r="M96" s="8" t="s">
        <v>43</v>
      </c>
    </row>
    <row r="97" spans="1:13">
      <c r="A97" s="9" t="s">
        <v>22</v>
      </c>
      <c r="B97" s="10">
        <v>1004</v>
      </c>
      <c r="C97" s="11">
        <v>44207</v>
      </c>
      <c r="D97" s="10" t="s">
        <v>6</v>
      </c>
      <c r="E97" s="11" t="s">
        <v>125</v>
      </c>
      <c r="F97" s="11" t="s">
        <v>126</v>
      </c>
      <c r="G97" s="11" t="s">
        <v>12</v>
      </c>
      <c r="H97" s="11">
        <v>80</v>
      </c>
      <c r="I97" s="11">
        <v>875</v>
      </c>
      <c r="J97" s="11">
        <v>70000</v>
      </c>
      <c r="K97" s="11">
        <v>14000</v>
      </c>
      <c r="L97" s="11">
        <v>0.2</v>
      </c>
      <c r="M97" s="12" t="s">
        <v>43</v>
      </c>
    </row>
    <row r="98" spans="1:13">
      <c r="A98" s="5" t="s">
        <v>20</v>
      </c>
      <c r="B98" s="6">
        <v>1003</v>
      </c>
      <c r="C98" s="7">
        <v>44051</v>
      </c>
      <c r="D98" s="6" t="s">
        <v>4</v>
      </c>
      <c r="E98" s="7" t="s">
        <v>64</v>
      </c>
      <c r="F98" s="7" t="s">
        <v>78</v>
      </c>
      <c r="G98" s="7" t="s">
        <v>14</v>
      </c>
      <c r="H98" s="7">
        <v>34</v>
      </c>
      <c r="I98" s="7">
        <v>203</v>
      </c>
      <c r="J98" s="7">
        <v>6902</v>
      </c>
      <c r="K98" s="7">
        <v>3174.92</v>
      </c>
      <c r="L98" s="7">
        <v>0.46</v>
      </c>
      <c r="M98" s="8" t="s">
        <v>46</v>
      </c>
    </row>
    <row r="99" spans="1:13">
      <c r="A99" s="9" t="s">
        <v>20</v>
      </c>
      <c r="B99" s="10">
        <v>1003</v>
      </c>
      <c r="C99" s="11">
        <v>44475</v>
      </c>
      <c r="D99" s="10" t="s">
        <v>4</v>
      </c>
      <c r="E99" s="11" t="s">
        <v>64</v>
      </c>
      <c r="F99" s="11" t="s">
        <v>65</v>
      </c>
      <c r="G99" s="11" t="s">
        <v>14</v>
      </c>
      <c r="H99" s="11">
        <v>45</v>
      </c>
      <c r="I99" s="11">
        <v>575</v>
      </c>
      <c r="J99" s="11">
        <v>25875</v>
      </c>
      <c r="K99" s="11">
        <v>10350</v>
      </c>
      <c r="L99" s="11">
        <v>0.4</v>
      </c>
      <c r="M99" s="12" t="s">
        <v>43</v>
      </c>
    </row>
    <row r="100" spans="1:13">
      <c r="A100" s="5" t="s">
        <v>18</v>
      </c>
      <c r="B100" s="6">
        <v>1001</v>
      </c>
      <c r="C100" s="7">
        <v>44510</v>
      </c>
      <c r="D100" s="6" t="s">
        <v>3</v>
      </c>
      <c r="E100" s="7" t="s">
        <v>81</v>
      </c>
      <c r="F100" s="7" t="s">
        <v>82</v>
      </c>
      <c r="G100" s="7" t="s">
        <v>10</v>
      </c>
      <c r="H100" s="7">
        <v>37</v>
      </c>
      <c r="I100" s="7">
        <v>51</v>
      </c>
      <c r="J100" s="7">
        <v>1887</v>
      </c>
      <c r="K100" s="7">
        <v>603.84</v>
      </c>
      <c r="L100" s="7">
        <v>0.32</v>
      </c>
      <c r="M100" s="8" t="s">
        <v>43</v>
      </c>
    </row>
    <row r="101" spans="1:13">
      <c r="A101" s="9" t="s">
        <v>18</v>
      </c>
      <c r="B101" s="10">
        <v>1001</v>
      </c>
      <c r="C101" s="11">
        <v>44189</v>
      </c>
      <c r="D101" s="10" t="s">
        <v>2</v>
      </c>
      <c r="E101" s="11" t="s">
        <v>96</v>
      </c>
      <c r="F101" s="11" t="s">
        <v>97</v>
      </c>
      <c r="G101" s="11" t="s">
        <v>14</v>
      </c>
      <c r="H101" s="11">
        <v>45</v>
      </c>
      <c r="I101" s="11">
        <v>225</v>
      </c>
      <c r="J101" s="11">
        <v>10125</v>
      </c>
      <c r="K101" s="11">
        <v>3037.5</v>
      </c>
      <c r="L101" s="11">
        <v>0.3</v>
      </c>
      <c r="M101" s="12" t="s">
        <v>43</v>
      </c>
    </row>
    <row r="102" spans="1:13">
      <c r="A102" s="5" t="s">
        <v>22</v>
      </c>
      <c r="B102" s="6">
        <v>1004</v>
      </c>
      <c r="C102" s="7">
        <v>43877</v>
      </c>
      <c r="D102" s="6" t="s">
        <v>6</v>
      </c>
      <c r="E102" s="7" t="s">
        <v>87</v>
      </c>
      <c r="F102" s="7" t="s">
        <v>88</v>
      </c>
      <c r="G102" s="7" t="s">
        <v>13</v>
      </c>
      <c r="H102" s="7">
        <v>64</v>
      </c>
      <c r="I102" s="7">
        <v>124</v>
      </c>
      <c r="J102" s="7">
        <v>7936</v>
      </c>
      <c r="K102" s="7">
        <v>3729.92</v>
      </c>
      <c r="L102" s="7">
        <v>0.47</v>
      </c>
      <c r="M102" s="8" t="s">
        <v>46</v>
      </c>
    </row>
    <row r="103" spans="1:13">
      <c r="A103" s="9" t="s">
        <v>17</v>
      </c>
      <c r="B103" s="10">
        <v>1006</v>
      </c>
      <c r="C103" s="11">
        <v>44480</v>
      </c>
      <c r="D103" s="10" t="s">
        <v>2</v>
      </c>
      <c r="E103" s="11" t="s">
        <v>123</v>
      </c>
      <c r="F103" s="11" t="s">
        <v>124</v>
      </c>
      <c r="G103" s="11" t="s">
        <v>9</v>
      </c>
      <c r="H103" s="11">
        <v>40</v>
      </c>
      <c r="I103" s="11">
        <v>400</v>
      </c>
      <c r="J103" s="11">
        <v>16000</v>
      </c>
      <c r="K103" s="11">
        <v>5600</v>
      </c>
      <c r="L103" s="11">
        <v>0.35</v>
      </c>
      <c r="M103" s="12" t="s">
        <v>46</v>
      </c>
    </row>
    <row r="104" spans="1:13">
      <c r="A104" s="5" t="s">
        <v>20</v>
      </c>
      <c r="B104" s="6">
        <v>1003</v>
      </c>
      <c r="C104" s="7">
        <v>44517</v>
      </c>
      <c r="D104" s="6" t="s">
        <v>4</v>
      </c>
      <c r="E104" s="7" t="s">
        <v>116</v>
      </c>
      <c r="F104" s="7" t="s">
        <v>117</v>
      </c>
      <c r="G104" s="7" t="s">
        <v>11</v>
      </c>
      <c r="H104" s="7">
        <v>28</v>
      </c>
      <c r="I104" s="7">
        <v>163</v>
      </c>
      <c r="J104" s="7">
        <v>4564</v>
      </c>
      <c r="K104" s="7">
        <v>2464.56</v>
      </c>
      <c r="L104" s="7">
        <v>0.54</v>
      </c>
      <c r="M104" s="8" t="s">
        <v>46</v>
      </c>
    </row>
    <row r="105" spans="1:13">
      <c r="A105" s="9" t="s">
        <v>20</v>
      </c>
      <c r="B105" s="10">
        <v>1003</v>
      </c>
      <c r="C105" s="11">
        <v>44441</v>
      </c>
      <c r="D105" s="10" t="s">
        <v>4</v>
      </c>
      <c r="E105" s="11" t="s">
        <v>64</v>
      </c>
      <c r="F105" s="11" t="s">
        <v>65</v>
      </c>
      <c r="G105" s="11" t="s">
        <v>9</v>
      </c>
      <c r="H105" s="11">
        <v>35</v>
      </c>
      <c r="I105" s="11">
        <v>325</v>
      </c>
      <c r="J105" s="11">
        <v>11375</v>
      </c>
      <c r="K105" s="11">
        <v>3412.5</v>
      </c>
      <c r="L105" s="11">
        <v>0.3</v>
      </c>
      <c r="M105" s="12" t="s">
        <v>43</v>
      </c>
    </row>
    <row r="106" spans="1:13">
      <c r="A106" s="5" t="s">
        <v>22</v>
      </c>
      <c r="B106" s="6">
        <v>1004</v>
      </c>
      <c r="C106" s="7">
        <v>44048</v>
      </c>
      <c r="D106" s="6" t="s">
        <v>6</v>
      </c>
      <c r="E106" s="7" t="s">
        <v>118</v>
      </c>
      <c r="F106" s="7" t="s">
        <v>119</v>
      </c>
      <c r="G106" s="7" t="s">
        <v>12</v>
      </c>
      <c r="H106" s="7">
        <v>86</v>
      </c>
      <c r="I106" s="7">
        <v>150</v>
      </c>
      <c r="J106" s="7">
        <v>12900</v>
      </c>
      <c r="K106" s="7">
        <v>4386</v>
      </c>
      <c r="L106" s="7">
        <v>0.34</v>
      </c>
      <c r="M106" s="8" t="s">
        <v>46</v>
      </c>
    </row>
    <row r="107" spans="1:13">
      <c r="A107" s="9" t="s">
        <v>19</v>
      </c>
      <c r="B107" s="10">
        <v>1005</v>
      </c>
      <c r="C107" s="11">
        <v>44355</v>
      </c>
      <c r="D107" s="10" t="s">
        <v>3</v>
      </c>
      <c r="E107" s="11" t="s">
        <v>85</v>
      </c>
      <c r="F107" s="11" t="s">
        <v>86</v>
      </c>
      <c r="G107" s="11" t="s">
        <v>11</v>
      </c>
      <c r="H107" s="11">
        <v>50</v>
      </c>
      <c r="I107" s="11">
        <v>600</v>
      </c>
      <c r="J107" s="11">
        <v>30000</v>
      </c>
      <c r="K107" s="11">
        <v>10500</v>
      </c>
      <c r="L107" s="11">
        <v>0.35</v>
      </c>
      <c r="M107" s="12" t="s">
        <v>74</v>
      </c>
    </row>
    <row r="108" spans="1:13">
      <c r="A108" s="5" t="s">
        <v>21</v>
      </c>
      <c r="B108" s="6">
        <v>1002</v>
      </c>
      <c r="C108" s="7">
        <v>44490</v>
      </c>
      <c r="D108" s="6" t="s">
        <v>4</v>
      </c>
      <c r="E108" s="7" t="s">
        <v>79</v>
      </c>
      <c r="F108" s="7" t="s">
        <v>80</v>
      </c>
      <c r="G108" s="7" t="s">
        <v>10</v>
      </c>
      <c r="H108" s="7">
        <v>20</v>
      </c>
      <c r="I108" s="7">
        <v>425</v>
      </c>
      <c r="J108" s="7">
        <v>8500</v>
      </c>
      <c r="K108" s="7">
        <v>2975</v>
      </c>
      <c r="L108" s="7">
        <v>0.35</v>
      </c>
      <c r="M108" s="8" t="s">
        <v>46</v>
      </c>
    </row>
    <row r="109" spans="1:13">
      <c r="A109" s="9" t="s">
        <v>21</v>
      </c>
      <c r="B109" s="10">
        <v>1002</v>
      </c>
      <c r="C109" s="11">
        <v>44334</v>
      </c>
      <c r="D109" s="10" t="s">
        <v>5</v>
      </c>
      <c r="E109" s="11" t="s">
        <v>47</v>
      </c>
      <c r="F109" s="11" t="s">
        <v>48</v>
      </c>
      <c r="G109" s="11" t="s">
        <v>13</v>
      </c>
      <c r="H109" s="11">
        <v>39</v>
      </c>
      <c r="I109" s="11">
        <v>107</v>
      </c>
      <c r="J109" s="11">
        <v>4173</v>
      </c>
      <c r="K109" s="11">
        <v>1418.82</v>
      </c>
      <c r="L109" s="11">
        <v>0.34</v>
      </c>
      <c r="M109" s="12" t="s">
        <v>43</v>
      </c>
    </row>
    <row r="110" spans="1:13">
      <c r="A110" s="5" t="s">
        <v>22</v>
      </c>
      <c r="B110" s="6">
        <v>1004</v>
      </c>
      <c r="C110" s="7">
        <v>43832</v>
      </c>
      <c r="D110" s="6" t="s">
        <v>3</v>
      </c>
      <c r="E110" s="7" t="s">
        <v>81</v>
      </c>
      <c r="F110" s="7" t="s">
        <v>82</v>
      </c>
      <c r="G110" s="7" t="s">
        <v>11</v>
      </c>
      <c r="H110" s="7">
        <v>35</v>
      </c>
      <c r="I110" s="7">
        <v>450</v>
      </c>
      <c r="J110" s="7">
        <v>15750</v>
      </c>
      <c r="K110" s="7">
        <v>6300</v>
      </c>
      <c r="L110" s="7">
        <v>0.4</v>
      </c>
      <c r="M110" s="8" t="s">
        <v>43</v>
      </c>
    </row>
    <row r="111" spans="1:13">
      <c r="A111" s="9" t="s">
        <v>18</v>
      </c>
      <c r="B111" s="10">
        <v>1001</v>
      </c>
      <c r="C111" s="11">
        <v>44264</v>
      </c>
      <c r="D111" s="10" t="s">
        <v>6</v>
      </c>
      <c r="E111" s="11" t="s">
        <v>127</v>
      </c>
      <c r="F111" s="11" t="s">
        <v>128</v>
      </c>
      <c r="G111" s="11" t="s">
        <v>10</v>
      </c>
      <c r="H111" s="11">
        <v>55</v>
      </c>
      <c r="I111" s="11">
        <v>350</v>
      </c>
      <c r="J111" s="11">
        <v>19250</v>
      </c>
      <c r="K111" s="11">
        <v>3850</v>
      </c>
      <c r="L111" s="11">
        <v>0.2</v>
      </c>
      <c r="M111" s="12" t="s">
        <v>43</v>
      </c>
    </row>
    <row r="112" spans="1:13">
      <c r="A112" s="5" t="s">
        <v>22</v>
      </c>
      <c r="B112" s="6">
        <v>1004</v>
      </c>
      <c r="C112" s="7">
        <v>44451</v>
      </c>
      <c r="D112" s="6" t="s">
        <v>6</v>
      </c>
      <c r="E112" s="7" t="s">
        <v>41</v>
      </c>
      <c r="F112" s="7" t="s">
        <v>42</v>
      </c>
      <c r="G112" s="7" t="s">
        <v>11</v>
      </c>
      <c r="H112" s="7">
        <v>30</v>
      </c>
      <c r="I112" s="7">
        <v>650</v>
      </c>
      <c r="J112" s="7">
        <v>19500</v>
      </c>
      <c r="K112" s="7">
        <v>7800</v>
      </c>
      <c r="L112" s="7">
        <v>0.4</v>
      </c>
      <c r="M112" s="8" t="s">
        <v>74</v>
      </c>
    </row>
    <row r="113" spans="1:13">
      <c r="A113" s="9" t="s">
        <v>18</v>
      </c>
      <c r="B113" s="10">
        <v>1001</v>
      </c>
      <c r="C113" s="11">
        <v>44535</v>
      </c>
      <c r="D113" s="10" t="s">
        <v>5</v>
      </c>
      <c r="E113" s="11" t="s">
        <v>122</v>
      </c>
      <c r="F113" s="11" t="s">
        <v>113</v>
      </c>
      <c r="G113" s="11" t="s">
        <v>10</v>
      </c>
      <c r="H113" s="11">
        <v>60</v>
      </c>
      <c r="I113" s="11">
        <v>875</v>
      </c>
      <c r="J113" s="11">
        <v>52500</v>
      </c>
      <c r="K113" s="11">
        <v>18375</v>
      </c>
      <c r="L113" s="11">
        <v>0.35</v>
      </c>
      <c r="M113" s="12" t="s">
        <v>46</v>
      </c>
    </row>
    <row r="114" spans="1:13">
      <c r="A114" s="5" t="s">
        <v>17</v>
      </c>
      <c r="B114" s="6">
        <v>1006</v>
      </c>
      <c r="C114" s="7">
        <v>44265</v>
      </c>
      <c r="D114" s="6" t="s">
        <v>3</v>
      </c>
      <c r="E114" s="7" t="s">
        <v>49</v>
      </c>
      <c r="F114" s="7" t="s">
        <v>50</v>
      </c>
      <c r="G114" s="7" t="s">
        <v>12</v>
      </c>
      <c r="H114" s="7">
        <v>45</v>
      </c>
      <c r="I114" s="7">
        <v>275</v>
      </c>
      <c r="J114" s="7">
        <v>12375</v>
      </c>
      <c r="K114" s="7">
        <v>4950</v>
      </c>
      <c r="L114" s="7">
        <v>0.4</v>
      </c>
      <c r="M114" s="8" t="s">
        <v>74</v>
      </c>
    </row>
    <row r="115" spans="1:13">
      <c r="A115" s="9" t="s">
        <v>21</v>
      </c>
      <c r="B115" s="10">
        <v>1002</v>
      </c>
      <c r="C115" s="11">
        <v>43941</v>
      </c>
      <c r="D115" s="10" t="s">
        <v>3</v>
      </c>
      <c r="E115" s="11" t="s">
        <v>63</v>
      </c>
      <c r="F115" s="11" t="s">
        <v>63</v>
      </c>
      <c r="G115" s="11" t="s">
        <v>10</v>
      </c>
      <c r="H115" s="11">
        <v>50</v>
      </c>
      <c r="I115" s="11">
        <v>270</v>
      </c>
      <c r="J115" s="11">
        <v>13500</v>
      </c>
      <c r="K115" s="11">
        <v>5940</v>
      </c>
      <c r="L115" s="11">
        <v>0.44</v>
      </c>
      <c r="M115" s="12" t="s">
        <v>46</v>
      </c>
    </row>
    <row r="116" spans="1:13">
      <c r="A116" s="5" t="s">
        <v>21</v>
      </c>
      <c r="B116" s="6">
        <v>1002</v>
      </c>
      <c r="C116" s="7">
        <v>44079</v>
      </c>
      <c r="D116" s="6" t="s">
        <v>4</v>
      </c>
      <c r="E116" s="7" t="s">
        <v>64</v>
      </c>
      <c r="F116" s="7" t="s">
        <v>78</v>
      </c>
      <c r="G116" s="7" t="s">
        <v>11</v>
      </c>
      <c r="H116" s="7">
        <v>33</v>
      </c>
      <c r="I116" s="7">
        <v>264</v>
      </c>
      <c r="J116" s="7">
        <v>8712</v>
      </c>
      <c r="K116" s="7">
        <v>3659.04</v>
      </c>
      <c r="L116" s="7">
        <v>0.42</v>
      </c>
      <c r="M116" s="8" t="s">
        <v>43</v>
      </c>
    </row>
    <row r="117" spans="1:13">
      <c r="A117" s="9" t="s">
        <v>22</v>
      </c>
      <c r="B117" s="10">
        <v>1004</v>
      </c>
      <c r="C117" s="11">
        <v>44008</v>
      </c>
      <c r="D117" s="10" t="s">
        <v>6</v>
      </c>
      <c r="E117" s="11" t="s">
        <v>118</v>
      </c>
      <c r="F117" s="11" t="s">
        <v>119</v>
      </c>
      <c r="G117" s="11" t="s">
        <v>10</v>
      </c>
      <c r="H117" s="11">
        <v>80</v>
      </c>
      <c r="I117" s="11">
        <v>625</v>
      </c>
      <c r="J117" s="11">
        <v>50000</v>
      </c>
      <c r="K117" s="11">
        <v>12500</v>
      </c>
      <c r="L117" s="11">
        <v>0.25</v>
      </c>
      <c r="M117" s="12" t="s">
        <v>74</v>
      </c>
    </row>
    <row r="118" spans="1:13">
      <c r="A118" s="5" t="s">
        <v>22</v>
      </c>
      <c r="B118" s="6">
        <v>1004</v>
      </c>
      <c r="C118" s="7">
        <v>44193</v>
      </c>
      <c r="D118" s="6" t="s">
        <v>6</v>
      </c>
      <c r="E118" s="7" t="s">
        <v>125</v>
      </c>
      <c r="F118" s="7" t="s">
        <v>126</v>
      </c>
      <c r="G118" s="7" t="s">
        <v>13</v>
      </c>
      <c r="H118" s="7">
        <v>48</v>
      </c>
      <c r="I118" s="7">
        <v>188</v>
      </c>
      <c r="J118" s="7">
        <v>9024</v>
      </c>
      <c r="K118" s="7">
        <v>3068.16</v>
      </c>
      <c r="L118" s="7">
        <v>0.34</v>
      </c>
      <c r="M118" s="8" t="s">
        <v>43</v>
      </c>
    </row>
    <row r="119" spans="1:13">
      <c r="A119" s="9" t="s">
        <v>18</v>
      </c>
      <c r="B119" s="10">
        <v>1001</v>
      </c>
      <c r="C119" s="11">
        <v>44445</v>
      </c>
      <c r="D119" s="10" t="s">
        <v>3</v>
      </c>
      <c r="E119" s="11" t="s">
        <v>75</v>
      </c>
      <c r="F119" s="11" t="s">
        <v>76</v>
      </c>
      <c r="G119" s="11" t="s">
        <v>13</v>
      </c>
      <c r="H119" s="11">
        <v>39</v>
      </c>
      <c r="I119" s="11">
        <v>27</v>
      </c>
      <c r="J119" s="11">
        <v>1053</v>
      </c>
      <c r="K119" s="11">
        <v>568.62</v>
      </c>
      <c r="L119" s="11">
        <v>0.54</v>
      </c>
      <c r="M119" s="12" t="s">
        <v>46</v>
      </c>
    </row>
    <row r="120" spans="1:13">
      <c r="A120" s="5" t="s">
        <v>22</v>
      </c>
      <c r="B120" s="6">
        <v>1004</v>
      </c>
      <c r="C120" s="7">
        <v>44418</v>
      </c>
      <c r="D120" s="6" t="s">
        <v>2</v>
      </c>
      <c r="E120" s="7" t="s">
        <v>102</v>
      </c>
      <c r="F120" s="7" t="s">
        <v>103</v>
      </c>
      <c r="G120" s="7" t="s">
        <v>13</v>
      </c>
      <c r="H120" s="7">
        <v>40</v>
      </c>
      <c r="I120" s="7">
        <v>200</v>
      </c>
      <c r="J120" s="7">
        <v>8000</v>
      </c>
      <c r="K120" s="7">
        <v>2800</v>
      </c>
      <c r="L120" s="7">
        <v>0.35</v>
      </c>
      <c r="M120" s="8" t="s">
        <v>74</v>
      </c>
    </row>
    <row r="121" spans="1:13">
      <c r="A121" s="9" t="s">
        <v>17</v>
      </c>
      <c r="B121" s="10">
        <v>1006</v>
      </c>
      <c r="C121" s="11">
        <v>44511</v>
      </c>
      <c r="D121" s="10" t="s">
        <v>3</v>
      </c>
      <c r="E121" s="11" t="s">
        <v>49</v>
      </c>
      <c r="F121" s="11" t="s">
        <v>50</v>
      </c>
      <c r="G121" s="11" t="s">
        <v>9</v>
      </c>
      <c r="H121" s="11">
        <v>50</v>
      </c>
      <c r="I121" s="11">
        <v>91</v>
      </c>
      <c r="J121" s="11">
        <v>4550</v>
      </c>
      <c r="K121" s="11">
        <v>1774.5</v>
      </c>
      <c r="L121" s="11">
        <v>0.39</v>
      </c>
      <c r="M121" s="12" t="s">
        <v>43</v>
      </c>
    </row>
    <row r="122" spans="1:13">
      <c r="A122" s="5" t="s">
        <v>22</v>
      </c>
      <c r="B122" s="6">
        <v>1004</v>
      </c>
      <c r="C122" s="7">
        <v>44458</v>
      </c>
      <c r="D122" s="6" t="s">
        <v>4</v>
      </c>
      <c r="E122" s="7" t="s">
        <v>70</v>
      </c>
      <c r="F122" s="7" t="s">
        <v>71</v>
      </c>
      <c r="G122" s="7" t="s">
        <v>11</v>
      </c>
      <c r="H122" s="7">
        <v>50</v>
      </c>
      <c r="I122" s="7">
        <v>575</v>
      </c>
      <c r="J122" s="7">
        <v>28750</v>
      </c>
      <c r="K122" s="7">
        <v>11500</v>
      </c>
      <c r="L122" s="7">
        <v>0.4</v>
      </c>
      <c r="M122" s="8" t="s">
        <v>46</v>
      </c>
    </row>
    <row r="123" spans="1:13">
      <c r="A123" s="9" t="s">
        <v>20</v>
      </c>
      <c r="B123" s="10">
        <v>1003</v>
      </c>
      <c r="C123" s="11">
        <v>44240</v>
      </c>
      <c r="D123" s="10" t="s">
        <v>5</v>
      </c>
      <c r="E123" s="11" t="s">
        <v>57</v>
      </c>
      <c r="F123" s="11" t="s">
        <v>58</v>
      </c>
      <c r="G123" s="11" t="s">
        <v>12</v>
      </c>
      <c r="H123" s="11">
        <v>28</v>
      </c>
      <c r="I123" s="11">
        <v>131</v>
      </c>
      <c r="J123" s="11">
        <v>3668</v>
      </c>
      <c r="K123" s="11">
        <v>1063.72</v>
      </c>
      <c r="L123" s="11">
        <v>0.28999999999999998</v>
      </c>
      <c r="M123" s="12" t="s">
        <v>43</v>
      </c>
    </row>
    <row r="124" spans="1:13">
      <c r="A124" s="5" t="s">
        <v>21</v>
      </c>
      <c r="B124" s="6">
        <v>1002</v>
      </c>
      <c r="C124" s="7">
        <v>44428</v>
      </c>
      <c r="D124" s="6" t="s">
        <v>4</v>
      </c>
      <c r="E124" s="7" t="s">
        <v>79</v>
      </c>
      <c r="F124" s="7" t="s">
        <v>80</v>
      </c>
      <c r="G124" s="7" t="s">
        <v>10</v>
      </c>
      <c r="H124" s="7">
        <v>42</v>
      </c>
      <c r="I124" s="7">
        <v>163</v>
      </c>
      <c r="J124" s="7">
        <v>6846</v>
      </c>
      <c r="K124" s="7">
        <v>2669.94</v>
      </c>
      <c r="L124" s="7">
        <v>0.39</v>
      </c>
      <c r="M124" s="8" t="s">
        <v>43</v>
      </c>
    </row>
    <row r="125" spans="1:13">
      <c r="A125" s="9" t="s">
        <v>17</v>
      </c>
      <c r="B125" s="10">
        <v>1006</v>
      </c>
      <c r="C125" s="11">
        <v>44543</v>
      </c>
      <c r="D125" s="10" t="s">
        <v>3</v>
      </c>
      <c r="E125" s="11" t="s">
        <v>100</v>
      </c>
      <c r="F125" s="11" t="s">
        <v>101</v>
      </c>
      <c r="G125" s="11" t="s">
        <v>14</v>
      </c>
      <c r="H125" s="11">
        <v>51</v>
      </c>
      <c r="I125" s="11">
        <v>98</v>
      </c>
      <c r="J125" s="11">
        <v>4998</v>
      </c>
      <c r="K125" s="11">
        <v>1949.22</v>
      </c>
      <c r="L125" s="11">
        <v>0.39</v>
      </c>
      <c r="M125" s="12" t="s">
        <v>46</v>
      </c>
    </row>
    <row r="126" spans="1:13">
      <c r="A126" s="5" t="s">
        <v>22</v>
      </c>
      <c r="B126" s="6">
        <v>1004</v>
      </c>
      <c r="C126" s="7">
        <v>44351</v>
      </c>
      <c r="D126" s="6" t="s">
        <v>6</v>
      </c>
      <c r="E126" s="7" t="s">
        <v>120</v>
      </c>
      <c r="F126" s="7" t="s">
        <v>121</v>
      </c>
      <c r="G126" s="7" t="s">
        <v>12</v>
      </c>
      <c r="H126" s="7">
        <v>39</v>
      </c>
      <c r="I126" s="7">
        <v>248</v>
      </c>
      <c r="J126" s="7">
        <v>9672</v>
      </c>
      <c r="K126" s="7">
        <v>5319.6</v>
      </c>
      <c r="L126" s="7">
        <v>0.55000000000000004</v>
      </c>
      <c r="M126" s="8" t="s">
        <v>43</v>
      </c>
    </row>
    <row r="127" spans="1:13">
      <c r="A127" s="9" t="s">
        <v>21</v>
      </c>
      <c r="B127" s="10">
        <v>1002</v>
      </c>
      <c r="C127" s="11">
        <v>44425</v>
      </c>
      <c r="D127" s="10" t="s">
        <v>5</v>
      </c>
      <c r="E127" s="11" t="s">
        <v>47</v>
      </c>
      <c r="F127" s="11" t="s">
        <v>48</v>
      </c>
      <c r="G127" s="11" t="s">
        <v>13</v>
      </c>
      <c r="H127" s="11">
        <v>64</v>
      </c>
      <c r="I127" s="11">
        <v>147</v>
      </c>
      <c r="J127" s="11">
        <v>9408</v>
      </c>
      <c r="K127" s="11">
        <v>3104.64</v>
      </c>
      <c r="L127" s="11">
        <v>0.33</v>
      </c>
      <c r="M127" s="12" t="s">
        <v>43</v>
      </c>
    </row>
    <row r="128" spans="1:13">
      <c r="A128" s="5" t="s">
        <v>22</v>
      </c>
      <c r="B128" s="6">
        <v>1004</v>
      </c>
      <c r="C128" s="7">
        <v>44237</v>
      </c>
      <c r="D128" s="6" t="s">
        <v>6</v>
      </c>
      <c r="E128" s="7" t="s">
        <v>125</v>
      </c>
      <c r="F128" s="7" t="s">
        <v>126</v>
      </c>
      <c r="G128" s="7" t="s">
        <v>12</v>
      </c>
      <c r="H128" s="7">
        <v>67</v>
      </c>
      <c r="I128" s="7">
        <v>202</v>
      </c>
      <c r="J128" s="7">
        <v>13534</v>
      </c>
      <c r="K128" s="7">
        <v>2842.14</v>
      </c>
      <c r="L128" s="7">
        <v>0.21</v>
      </c>
      <c r="M128" s="8" t="s">
        <v>46</v>
      </c>
    </row>
    <row r="129" spans="1:13">
      <c r="A129" s="9" t="s">
        <v>17</v>
      </c>
      <c r="B129" s="10">
        <v>1006</v>
      </c>
      <c r="C129" s="11">
        <v>44272</v>
      </c>
      <c r="D129" s="10" t="s">
        <v>3</v>
      </c>
      <c r="E129" s="11" t="s">
        <v>98</v>
      </c>
      <c r="F129" s="11" t="s">
        <v>99</v>
      </c>
      <c r="G129" s="11" t="s">
        <v>14</v>
      </c>
      <c r="H129" s="11">
        <v>32</v>
      </c>
      <c r="I129" s="11">
        <v>105</v>
      </c>
      <c r="J129" s="11">
        <v>3360</v>
      </c>
      <c r="K129" s="11">
        <v>1142.4000000000001</v>
      </c>
      <c r="L129" s="11">
        <v>0.34</v>
      </c>
      <c r="M129" s="12" t="s">
        <v>43</v>
      </c>
    </row>
    <row r="130" spans="1:13">
      <c r="A130" s="5" t="s">
        <v>22</v>
      </c>
      <c r="B130" s="6">
        <v>1004</v>
      </c>
      <c r="C130" s="7">
        <v>44027</v>
      </c>
      <c r="D130" s="6" t="s">
        <v>6</v>
      </c>
      <c r="E130" s="7" t="s">
        <v>118</v>
      </c>
      <c r="F130" s="7" t="s">
        <v>119</v>
      </c>
      <c r="G130" s="7" t="s">
        <v>14</v>
      </c>
      <c r="H130" s="7">
        <v>70</v>
      </c>
      <c r="I130" s="7">
        <v>450</v>
      </c>
      <c r="J130" s="7">
        <v>31500</v>
      </c>
      <c r="K130" s="7">
        <v>7875</v>
      </c>
      <c r="L130" s="7">
        <v>0.25</v>
      </c>
      <c r="M130" s="8" t="s">
        <v>74</v>
      </c>
    </row>
    <row r="131" spans="1:13">
      <c r="A131" s="9" t="s">
        <v>18</v>
      </c>
      <c r="B131" s="10">
        <v>1001</v>
      </c>
      <c r="C131" s="11">
        <v>44343</v>
      </c>
      <c r="D131" s="10" t="s">
        <v>2</v>
      </c>
      <c r="E131" s="11" t="s">
        <v>55</v>
      </c>
      <c r="F131" s="11" t="s">
        <v>56</v>
      </c>
      <c r="G131" s="11" t="s">
        <v>11</v>
      </c>
      <c r="H131" s="11">
        <v>35</v>
      </c>
      <c r="I131" s="11">
        <v>475</v>
      </c>
      <c r="J131" s="11">
        <v>16625</v>
      </c>
      <c r="K131" s="11">
        <v>6650</v>
      </c>
      <c r="L131" s="11">
        <v>0.4</v>
      </c>
      <c r="M131" s="12" t="s">
        <v>43</v>
      </c>
    </row>
    <row r="132" spans="1:13">
      <c r="A132" s="5" t="s">
        <v>22</v>
      </c>
      <c r="B132" s="6">
        <v>1004</v>
      </c>
      <c r="C132" s="7">
        <v>44357</v>
      </c>
      <c r="D132" s="6" t="s">
        <v>2</v>
      </c>
      <c r="E132" s="7" t="s">
        <v>102</v>
      </c>
      <c r="F132" s="7" t="s">
        <v>103</v>
      </c>
      <c r="G132" s="7" t="s">
        <v>12</v>
      </c>
      <c r="H132" s="7">
        <v>60</v>
      </c>
      <c r="I132" s="7">
        <v>325</v>
      </c>
      <c r="J132" s="7">
        <v>19500</v>
      </c>
      <c r="K132" s="7">
        <v>7800</v>
      </c>
      <c r="L132" s="7">
        <v>0.4</v>
      </c>
      <c r="M132" s="8" t="s">
        <v>74</v>
      </c>
    </row>
    <row r="133" spans="1:13">
      <c r="A133" s="9" t="s">
        <v>22</v>
      </c>
      <c r="B133" s="10">
        <v>1004</v>
      </c>
      <c r="C133" s="11">
        <v>43872</v>
      </c>
      <c r="D133" s="10" t="s">
        <v>6</v>
      </c>
      <c r="E133" s="11" t="s">
        <v>87</v>
      </c>
      <c r="F133" s="11" t="s">
        <v>88</v>
      </c>
      <c r="G133" s="11" t="s">
        <v>9</v>
      </c>
      <c r="H133" s="11">
        <v>47</v>
      </c>
      <c r="I133" s="11">
        <v>150</v>
      </c>
      <c r="J133" s="11">
        <v>7050</v>
      </c>
      <c r="K133" s="11">
        <v>4159.5</v>
      </c>
      <c r="L133" s="11">
        <v>0.59000000000000008</v>
      </c>
      <c r="M133" s="12" t="s">
        <v>43</v>
      </c>
    </row>
    <row r="134" spans="1:13">
      <c r="A134" s="5" t="s">
        <v>19</v>
      </c>
      <c r="B134" s="6">
        <v>1005</v>
      </c>
      <c r="C134" s="7">
        <v>44206</v>
      </c>
      <c r="D134" s="6" t="s">
        <v>3</v>
      </c>
      <c r="E134" s="7" t="s">
        <v>129</v>
      </c>
      <c r="F134" s="7" t="s">
        <v>130</v>
      </c>
      <c r="G134" s="7" t="s">
        <v>11</v>
      </c>
      <c r="H134" s="7">
        <v>32</v>
      </c>
      <c r="I134" s="7">
        <v>138</v>
      </c>
      <c r="J134" s="7">
        <v>4416</v>
      </c>
      <c r="K134" s="7">
        <v>2208</v>
      </c>
      <c r="L134" s="7">
        <v>0.5</v>
      </c>
      <c r="M134" s="8" t="s">
        <v>46</v>
      </c>
    </row>
    <row r="135" spans="1:13">
      <c r="A135" s="9" t="s">
        <v>20</v>
      </c>
      <c r="B135" s="10">
        <v>1003</v>
      </c>
      <c r="C135" s="11">
        <v>44461</v>
      </c>
      <c r="D135" s="10" t="s">
        <v>4</v>
      </c>
      <c r="E135" s="11" t="s">
        <v>64</v>
      </c>
      <c r="F135" s="11" t="s">
        <v>65</v>
      </c>
      <c r="G135" s="11" t="s">
        <v>11</v>
      </c>
      <c r="H135" s="11">
        <v>49</v>
      </c>
      <c r="I135" s="11">
        <v>208</v>
      </c>
      <c r="J135" s="11">
        <v>10192</v>
      </c>
      <c r="K135" s="11">
        <v>5197.92</v>
      </c>
      <c r="L135" s="11">
        <v>0.51</v>
      </c>
      <c r="M135" s="12" t="s">
        <v>46</v>
      </c>
    </row>
    <row r="136" spans="1:13">
      <c r="A136" s="5" t="s">
        <v>20</v>
      </c>
      <c r="B136" s="6">
        <v>1003</v>
      </c>
      <c r="C136" s="7">
        <v>44546</v>
      </c>
      <c r="D136" s="6" t="s">
        <v>4</v>
      </c>
      <c r="E136" s="7" t="s">
        <v>116</v>
      </c>
      <c r="F136" s="7" t="s">
        <v>117</v>
      </c>
      <c r="G136" s="7" t="s">
        <v>10</v>
      </c>
      <c r="H136" s="7">
        <v>60</v>
      </c>
      <c r="I136" s="7">
        <v>575</v>
      </c>
      <c r="J136" s="7">
        <v>34500</v>
      </c>
      <c r="K136" s="7">
        <v>12075</v>
      </c>
      <c r="L136" s="7">
        <v>0.35</v>
      </c>
      <c r="M136" s="8" t="s">
        <v>46</v>
      </c>
    </row>
    <row r="137" spans="1:13">
      <c r="A137" s="9" t="s">
        <v>22</v>
      </c>
      <c r="B137" s="10">
        <v>1004</v>
      </c>
      <c r="C137" s="11">
        <v>44336</v>
      </c>
      <c r="D137" s="10" t="s">
        <v>3</v>
      </c>
      <c r="E137" s="11" t="s">
        <v>110</v>
      </c>
      <c r="F137" s="11" t="s">
        <v>111</v>
      </c>
      <c r="G137" s="11" t="s">
        <v>11</v>
      </c>
      <c r="H137" s="11">
        <v>50</v>
      </c>
      <c r="I137" s="11">
        <v>470</v>
      </c>
      <c r="J137" s="11">
        <v>23500</v>
      </c>
      <c r="K137" s="11">
        <v>9400</v>
      </c>
      <c r="L137" s="11">
        <v>0.4</v>
      </c>
      <c r="M137" s="12" t="s">
        <v>74</v>
      </c>
    </row>
    <row r="138" spans="1:13">
      <c r="A138" s="5" t="s">
        <v>21</v>
      </c>
      <c r="B138" s="6">
        <v>1002</v>
      </c>
      <c r="C138" s="7">
        <v>44479</v>
      </c>
      <c r="D138" s="6" t="s">
        <v>6</v>
      </c>
      <c r="E138" s="7" t="s">
        <v>127</v>
      </c>
      <c r="F138" s="7" t="s">
        <v>128</v>
      </c>
      <c r="G138" s="7" t="s">
        <v>9</v>
      </c>
      <c r="H138" s="7">
        <v>65</v>
      </c>
      <c r="I138" s="7">
        <v>250</v>
      </c>
      <c r="J138" s="7">
        <v>16250</v>
      </c>
      <c r="K138" s="7">
        <v>2437.5</v>
      </c>
      <c r="L138" s="7">
        <v>0.15</v>
      </c>
      <c r="M138" s="8" t="s">
        <v>43</v>
      </c>
    </row>
    <row r="139" spans="1:13">
      <c r="A139" s="9" t="s">
        <v>17</v>
      </c>
      <c r="B139" s="10">
        <v>1006</v>
      </c>
      <c r="C139" s="11">
        <v>44333</v>
      </c>
      <c r="D139" s="10" t="s">
        <v>3</v>
      </c>
      <c r="E139" s="11" t="s">
        <v>98</v>
      </c>
      <c r="F139" s="11" t="s">
        <v>99</v>
      </c>
      <c r="G139" s="11" t="s">
        <v>10</v>
      </c>
      <c r="H139" s="11">
        <v>40</v>
      </c>
      <c r="I139" s="11">
        <v>93</v>
      </c>
      <c r="J139" s="11">
        <v>3720</v>
      </c>
      <c r="K139" s="11">
        <v>1599.6</v>
      </c>
      <c r="L139" s="11">
        <v>0.43</v>
      </c>
      <c r="M139" s="12" t="s">
        <v>43</v>
      </c>
    </row>
    <row r="140" spans="1:13">
      <c r="A140" s="5" t="s">
        <v>20</v>
      </c>
      <c r="B140" s="6">
        <v>1003</v>
      </c>
      <c r="C140" s="7">
        <v>44290</v>
      </c>
      <c r="D140" s="6" t="s">
        <v>3</v>
      </c>
      <c r="E140" s="7" t="s">
        <v>131</v>
      </c>
      <c r="F140" s="7" t="s">
        <v>132</v>
      </c>
      <c r="G140" s="7" t="s">
        <v>13</v>
      </c>
      <c r="H140" s="7">
        <v>35</v>
      </c>
      <c r="I140" s="7">
        <v>125</v>
      </c>
      <c r="J140" s="7">
        <v>4375</v>
      </c>
      <c r="K140" s="7">
        <v>1312.5</v>
      </c>
      <c r="L140" s="7">
        <v>0.3</v>
      </c>
      <c r="M140" s="8" t="s">
        <v>74</v>
      </c>
    </row>
    <row r="141" spans="1:13">
      <c r="A141" s="9" t="s">
        <v>22</v>
      </c>
      <c r="B141" s="10">
        <v>1004</v>
      </c>
      <c r="C141" s="11">
        <v>44193</v>
      </c>
      <c r="D141" s="10" t="s">
        <v>6</v>
      </c>
      <c r="E141" s="11" t="s">
        <v>125</v>
      </c>
      <c r="F141" s="11" t="s">
        <v>126</v>
      </c>
      <c r="G141" s="11" t="s">
        <v>13</v>
      </c>
      <c r="H141" s="11">
        <v>54</v>
      </c>
      <c r="I141" s="11">
        <v>188</v>
      </c>
      <c r="J141" s="11">
        <v>10152</v>
      </c>
      <c r="K141" s="11">
        <v>4162.32</v>
      </c>
      <c r="L141" s="11">
        <v>0.41</v>
      </c>
      <c r="M141" s="12" t="s">
        <v>46</v>
      </c>
    </row>
    <row r="142" spans="1:13">
      <c r="A142" s="5" t="s">
        <v>18</v>
      </c>
      <c r="B142" s="6">
        <v>1001</v>
      </c>
      <c r="C142" s="7">
        <v>44545</v>
      </c>
      <c r="D142" s="6" t="s">
        <v>2</v>
      </c>
      <c r="E142" s="7" t="s">
        <v>72</v>
      </c>
      <c r="F142" s="7" t="s">
        <v>73</v>
      </c>
      <c r="G142" s="7" t="s">
        <v>12</v>
      </c>
      <c r="H142" s="7">
        <v>59</v>
      </c>
      <c r="I142" s="7">
        <v>163</v>
      </c>
      <c r="J142" s="7">
        <v>9617</v>
      </c>
      <c r="K142" s="7">
        <v>6251.05</v>
      </c>
      <c r="L142" s="7">
        <v>0.65</v>
      </c>
      <c r="M142" s="8" t="s">
        <v>46</v>
      </c>
    </row>
    <row r="143" spans="1:13">
      <c r="A143" s="9" t="s">
        <v>22</v>
      </c>
      <c r="B143" s="10">
        <v>1004</v>
      </c>
      <c r="C143" s="11">
        <v>44263</v>
      </c>
      <c r="D143" s="10" t="s">
        <v>3</v>
      </c>
      <c r="E143" s="11" t="s">
        <v>63</v>
      </c>
      <c r="F143" s="11" t="s">
        <v>77</v>
      </c>
      <c r="G143" s="11" t="s">
        <v>9</v>
      </c>
      <c r="H143" s="11">
        <v>51</v>
      </c>
      <c r="I143" s="11">
        <v>133</v>
      </c>
      <c r="J143" s="11">
        <v>6783</v>
      </c>
      <c r="K143" s="11">
        <v>3323.67</v>
      </c>
      <c r="L143" s="11">
        <v>0.49</v>
      </c>
      <c r="M143" s="12" t="s">
        <v>46</v>
      </c>
    </row>
    <row r="144" spans="1:13">
      <c r="A144" s="5" t="s">
        <v>22</v>
      </c>
      <c r="B144" s="6">
        <v>1004</v>
      </c>
      <c r="C144" s="7">
        <v>44371</v>
      </c>
      <c r="D144" s="6" t="s">
        <v>6</v>
      </c>
      <c r="E144" s="7" t="s">
        <v>93</v>
      </c>
      <c r="F144" s="7" t="s">
        <v>94</v>
      </c>
      <c r="G144" s="7" t="s">
        <v>10</v>
      </c>
      <c r="H144" s="7">
        <v>47</v>
      </c>
      <c r="I144" s="7">
        <v>202</v>
      </c>
      <c r="J144" s="7">
        <v>9494</v>
      </c>
      <c r="K144" s="7">
        <v>3892.54</v>
      </c>
      <c r="L144" s="7">
        <v>0.41</v>
      </c>
      <c r="M144" s="8" t="s">
        <v>43</v>
      </c>
    </row>
    <row r="145" spans="1:13">
      <c r="A145" s="9" t="s">
        <v>18</v>
      </c>
      <c r="B145" s="10">
        <v>1001</v>
      </c>
      <c r="C145" s="11">
        <v>44520</v>
      </c>
      <c r="D145" s="10" t="s">
        <v>3</v>
      </c>
      <c r="E145" s="11" t="s">
        <v>81</v>
      </c>
      <c r="F145" s="11" t="s">
        <v>82</v>
      </c>
      <c r="G145" s="11" t="s">
        <v>12</v>
      </c>
      <c r="H145" s="11">
        <v>51</v>
      </c>
      <c r="I145" s="11">
        <v>78</v>
      </c>
      <c r="J145" s="11">
        <v>3978</v>
      </c>
      <c r="K145" s="11">
        <v>1471.86</v>
      </c>
      <c r="L145" s="11">
        <v>0.37</v>
      </c>
      <c r="M145" s="12" t="s">
        <v>43</v>
      </c>
    </row>
    <row r="146" spans="1:13">
      <c r="A146" s="5" t="s">
        <v>20</v>
      </c>
      <c r="B146" s="6">
        <v>1003</v>
      </c>
      <c r="C146" s="7">
        <v>44474</v>
      </c>
      <c r="D146" s="6" t="s">
        <v>4</v>
      </c>
      <c r="E146" s="7" t="s">
        <v>61</v>
      </c>
      <c r="F146" s="7" t="s">
        <v>62</v>
      </c>
      <c r="G146" s="7" t="s">
        <v>12</v>
      </c>
      <c r="H146" s="7">
        <v>56</v>
      </c>
      <c r="I146" s="7">
        <v>188</v>
      </c>
      <c r="J146" s="7">
        <v>10528</v>
      </c>
      <c r="K146" s="7">
        <v>8317.1200000000008</v>
      </c>
      <c r="L146" s="7">
        <v>0.79000000000000015</v>
      </c>
      <c r="M146" s="8" t="s">
        <v>46</v>
      </c>
    </row>
    <row r="147" spans="1:13">
      <c r="A147" s="9" t="s">
        <v>17</v>
      </c>
      <c r="B147" s="10">
        <v>1006</v>
      </c>
      <c r="C147" s="11">
        <v>44462</v>
      </c>
      <c r="D147" s="10" t="s">
        <v>5</v>
      </c>
      <c r="E147" s="11" t="s">
        <v>44</v>
      </c>
      <c r="F147" s="11" t="s">
        <v>45</v>
      </c>
      <c r="G147" s="11" t="s">
        <v>11</v>
      </c>
      <c r="H147" s="11">
        <v>50</v>
      </c>
      <c r="I147" s="11">
        <v>525</v>
      </c>
      <c r="J147" s="11">
        <v>26250</v>
      </c>
      <c r="K147" s="11">
        <v>10500</v>
      </c>
      <c r="L147" s="11">
        <v>0.4</v>
      </c>
      <c r="M147" s="12" t="s">
        <v>46</v>
      </c>
    </row>
    <row r="148" spans="1:13">
      <c r="A148" s="5" t="s">
        <v>21</v>
      </c>
      <c r="B148" s="6">
        <v>1002</v>
      </c>
      <c r="C148" s="7">
        <v>43948</v>
      </c>
      <c r="D148" s="6" t="s">
        <v>3</v>
      </c>
      <c r="E148" s="7" t="s">
        <v>63</v>
      </c>
      <c r="F148" s="7" t="s">
        <v>63</v>
      </c>
      <c r="G148" s="7" t="s">
        <v>11</v>
      </c>
      <c r="H148" s="7">
        <v>65</v>
      </c>
      <c r="I148" s="7">
        <v>1150</v>
      </c>
      <c r="J148" s="7">
        <v>74750</v>
      </c>
      <c r="K148" s="7">
        <v>37375</v>
      </c>
      <c r="L148" s="7">
        <v>0.5</v>
      </c>
      <c r="M148" s="8" t="s">
        <v>43</v>
      </c>
    </row>
    <row r="149" spans="1:13">
      <c r="A149" s="9" t="s">
        <v>21</v>
      </c>
      <c r="B149" s="10">
        <v>1002</v>
      </c>
      <c r="C149" s="11">
        <v>44125</v>
      </c>
      <c r="D149" s="10" t="s">
        <v>4</v>
      </c>
      <c r="E149" s="11" t="s">
        <v>64</v>
      </c>
      <c r="F149" s="11" t="s">
        <v>78</v>
      </c>
      <c r="G149" s="11" t="s">
        <v>10</v>
      </c>
      <c r="H149" s="11">
        <v>43</v>
      </c>
      <c r="I149" s="11">
        <v>243</v>
      </c>
      <c r="J149" s="11">
        <v>10449</v>
      </c>
      <c r="K149" s="11">
        <v>5120.01</v>
      </c>
      <c r="L149" s="11">
        <v>0.49</v>
      </c>
      <c r="M149" s="12" t="s">
        <v>46</v>
      </c>
    </row>
    <row r="150" spans="1:13">
      <c r="A150" s="5" t="s">
        <v>18</v>
      </c>
      <c r="B150" s="6">
        <v>1001</v>
      </c>
      <c r="C150" s="7">
        <v>44272</v>
      </c>
      <c r="D150" s="6" t="s">
        <v>2</v>
      </c>
      <c r="E150" s="7" t="s">
        <v>91</v>
      </c>
      <c r="F150" s="7" t="s">
        <v>92</v>
      </c>
      <c r="G150" s="7" t="s">
        <v>9</v>
      </c>
      <c r="H150" s="7">
        <v>41</v>
      </c>
      <c r="I150" s="7">
        <v>75</v>
      </c>
      <c r="J150" s="7">
        <v>3075</v>
      </c>
      <c r="K150" s="7">
        <v>1506.75</v>
      </c>
      <c r="L150" s="7">
        <v>0.49</v>
      </c>
      <c r="M150" s="8" t="s">
        <v>46</v>
      </c>
    </row>
    <row r="151" spans="1:13">
      <c r="A151" s="9" t="s">
        <v>22</v>
      </c>
      <c r="B151" s="10">
        <v>1004</v>
      </c>
      <c r="C151" s="11">
        <v>44195</v>
      </c>
      <c r="D151" s="10" t="s">
        <v>6</v>
      </c>
      <c r="E151" s="11" t="s">
        <v>125</v>
      </c>
      <c r="F151" s="11" t="s">
        <v>126</v>
      </c>
      <c r="G151" s="11" t="s">
        <v>12</v>
      </c>
      <c r="H151" s="11">
        <v>80</v>
      </c>
      <c r="I151" s="11">
        <v>700</v>
      </c>
      <c r="J151" s="11">
        <v>56000</v>
      </c>
      <c r="K151" s="11">
        <v>8400</v>
      </c>
      <c r="L151" s="11">
        <v>0.15</v>
      </c>
      <c r="M151" s="12" t="s">
        <v>43</v>
      </c>
    </row>
    <row r="152" spans="1:13">
      <c r="A152" s="5" t="s">
        <v>19</v>
      </c>
      <c r="B152" s="6">
        <v>1005</v>
      </c>
      <c r="C152" s="7">
        <v>44312</v>
      </c>
      <c r="D152" s="6" t="s">
        <v>6</v>
      </c>
      <c r="E152" s="7" t="s">
        <v>83</v>
      </c>
      <c r="F152" s="7" t="s">
        <v>84</v>
      </c>
      <c r="G152" s="7" t="s">
        <v>14</v>
      </c>
      <c r="H152" s="7">
        <v>60</v>
      </c>
      <c r="I152" s="7">
        <v>400</v>
      </c>
      <c r="J152" s="7">
        <v>24000</v>
      </c>
      <c r="K152" s="7">
        <v>8400</v>
      </c>
      <c r="L152" s="7">
        <v>0.35</v>
      </c>
      <c r="M152" s="8" t="s">
        <v>46</v>
      </c>
    </row>
    <row r="153" spans="1:13">
      <c r="A153" s="9" t="s">
        <v>18</v>
      </c>
      <c r="B153" s="10">
        <v>1001</v>
      </c>
      <c r="C153" s="11">
        <v>44388</v>
      </c>
      <c r="D153" s="10" t="s">
        <v>2</v>
      </c>
      <c r="E153" s="11" t="s">
        <v>51</v>
      </c>
      <c r="F153" s="11" t="s">
        <v>52</v>
      </c>
      <c r="G153" s="11" t="s">
        <v>13</v>
      </c>
      <c r="H153" s="11">
        <v>40</v>
      </c>
      <c r="I153" s="11">
        <v>175</v>
      </c>
      <c r="J153" s="11">
        <v>7000</v>
      </c>
      <c r="K153" s="11">
        <v>2100</v>
      </c>
      <c r="L153" s="11">
        <v>0.3</v>
      </c>
      <c r="M153" s="12" t="s">
        <v>46</v>
      </c>
    </row>
    <row r="154" spans="1:13">
      <c r="A154" s="5" t="s">
        <v>18</v>
      </c>
      <c r="B154" s="6">
        <v>1001</v>
      </c>
      <c r="C154" s="7">
        <v>44329</v>
      </c>
      <c r="D154" s="6" t="s">
        <v>2</v>
      </c>
      <c r="E154" s="7" t="s">
        <v>51</v>
      </c>
      <c r="F154" s="7" t="s">
        <v>52</v>
      </c>
      <c r="G154" s="7" t="s">
        <v>12</v>
      </c>
      <c r="H154" s="7">
        <v>58</v>
      </c>
      <c r="I154" s="7">
        <v>68</v>
      </c>
      <c r="J154" s="7">
        <v>3944</v>
      </c>
      <c r="K154" s="7">
        <v>2011.44</v>
      </c>
      <c r="L154" s="7">
        <v>0.51</v>
      </c>
      <c r="M154" s="8" t="s">
        <v>46</v>
      </c>
    </row>
    <row r="155" spans="1:13">
      <c r="A155" s="9" t="s">
        <v>17</v>
      </c>
      <c r="B155" s="10">
        <v>1006</v>
      </c>
      <c r="C155" s="11">
        <v>44394</v>
      </c>
      <c r="D155" s="10" t="s">
        <v>3</v>
      </c>
      <c r="E155" s="11" t="s">
        <v>98</v>
      </c>
      <c r="F155" s="11" t="s">
        <v>99</v>
      </c>
      <c r="G155" s="11" t="s">
        <v>11</v>
      </c>
      <c r="H155" s="11">
        <v>64</v>
      </c>
      <c r="I155" s="11">
        <v>196</v>
      </c>
      <c r="J155" s="11">
        <v>12544</v>
      </c>
      <c r="K155" s="11">
        <v>6648.32</v>
      </c>
      <c r="L155" s="11">
        <v>0.53</v>
      </c>
      <c r="M155" s="12" t="s">
        <v>46</v>
      </c>
    </row>
    <row r="156" spans="1:13">
      <c r="A156" s="5" t="s">
        <v>20</v>
      </c>
      <c r="B156" s="6">
        <v>1003</v>
      </c>
      <c r="C156" s="7">
        <v>44473</v>
      </c>
      <c r="D156" s="6" t="s">
        <v>5</v>
      </c>
      <c r="E156" s="7" t="s">
        <v>89</v>
      </c>
      <c r="F156" s="7" t="s">
        <v>90</v>
      </c>
      <c r="G156" s="7" t="s">
        <v>14</v>
      </c>
      <c r="H156" s="7">
        <v>34</v>
      </c>
      <c r="I156" s="7">
        <v>150</v>
      </c>
      <c r="J156" s="7">
        <v>5100</v>
      </c>
      <c r="K156" s="7">
        <v>2601</v>
      </c>
      <c r="L156" s="7">
        <v>0.51</v>
      </c>
      <c r="M156" s="8" t="s">
        <v>46</v>
      </c>
    </row>
    <row r="157" spans="1:13">
      <c r="A157" s="9" t="s">
        <v>19</v>
      </c>
      <c r="B157" s="10">
        <v>1005</v>
      </c>
      <c r="C157" s="11">
        <v>44389</v>
      </c>
      <c r="D157" s="10" t="s">
        <v>2</v>
      </c>
      <c r="E157" s="11" t="s">
        <v>66</v>
      </c>
      <c r="F157" s="11" t="s">
        <v>67</v>
      </c>
      <c r="G157" s="11" t="s">
        <v>10</v>
      </c>
      <c r="H157" s="11">
        <v>49</v>
      </c>
      <c r="I157" s="11">
        <v>119</v>
      </c>
      <c r="J157" s="11">
        <v>5831</v>
      </c>
      <c r="K157" s="11">
        <v>2915.5</v>
      </c>
      <c r="L157" s="11">
        <v>0.5</v>
      </c>
      <c r="M157" s="12" t="s">
        <v>46</v>
      </c>
    </row>
    <row r="158" spans="1:13">
      <c r="A158" s="5" t="s">
        <v>20</v>
      </c>
      <c r="B158" s="6">
        <v>1003</v>
      </c>
      <c r="C158" s="7">
        <v>44308</v>
      </c>
      <c r="D158" s="6" t="s">
        <v>4</v>
      </c>
      <c r="E158" s="7" t="s">
        <v>104</v>
      </c>
      <c r="F158" s="7" t="s">
        <v>105</v>
      </c>
      <c r="G158" s="7" t="s">
        <v>10</v>
      </c>
      <c r="H158" s="7">
        <v>55</v>
      </c>
      <c r="I158" s="7">
        <v>775</v>
      </c>
      <c r="J158" s="7">
        <v>42625</v>
      </c>
      <c r="K158" s="7">
        <v>19181.25</v>
      </c>
      <c r="L158" s="7">
        <v>0.45</v>
      </c>
      <c r="M158" s="8" t="s">
        <v>43</v>
      </c>
    </row>
    <row r="159" spans="1:13">
      <c r="A159" s="9" t="s">
        <v>19</v>
      </c>
      <c r="B159" s="10">
        <v>1005</v>
      </c>
      <c r="C159" s="11">
        <v>44549</v>
      </c>
      <c r="D159" s="10" t="s">
        <v>4</v>
      </c>
      <c r="E159" s="11" t="s">
        <v>70</v>
      </c>
      <c r="F159" s="11" t="s">
        <v>71</v>
      </c>
      <c r="G159" s="11" t="s">
        <v>9</v>
      </c>
      <c r="H159" s="11">
        <v>69</v>
      </c>
      <c r="I159" s="11">
        <v>81</v>
      </c>
      <c r="J159" s="11">
        <v>5589</v>
      </c>
      <c r="K159" s="11">
        <v>2682.72</v>
      </c>
      <c r="L159" s="11">
        <v>0.48</v>
      </c>
      <c r="M159" s="12" t="s">
        <v>46</v>
      </c>
    </row>
    <row r="160" spans="1:13">
      <c r="A160" s="5" t="s">
        <v>19</v>
      </c>
      <c r="B160" s="6">
        <v>1005</v>
      </c>
      <c r="C160" s="7">
        <v>44345</v>
      </c>
      <c r="D160" s="6" t="s">
        <v>6</v>
      </c>
      <c r="E160" s="7" t="s">
        <v>125</v>
      </c>
      <c r="F160" s="7" t="s">
        <v>133</v>
      </c>
      <c r="G160" s="7" t="s">
        <v>9</v>
      </c>
      <c r="H160" s="7">
        <v>55</v>
      </c>
      <c r="I160" s="7">
        <v>156</v>
      </c>
      <c r="J160" s="7">
        <v>8580</v>
      </c>
      <c r="K160" s="7">
        <v>5577</v>
      </c>
      <c r="L160" s="7">
        <v>0.65</v>
      </c>
      <c r="M160" s="8" t="s">
        <v>46</v>
      </c>
    </row>
    <row r="161" spans="1:13">
      <c r="A161" s="9" t="s">
        <v>22</v>
      </c>
      <c r="B161" s="10">
        <v>1004</v>
      </c>
      <c r="C161" s="11">
        <v>44275</v>
      </c>
      <c r="D161" s="10" t="s">
        <v>3</v>
      </c>
      <c r="E161" s="11" t="s">
        <v>110</v>
      </c>
      <c r="F161" s="11" t="s">
        <v>111</v>
      </c>
      <c r="G161" s="11" t="s">
        <v>12</v>
      </c>
      <c r="H161" s="11">
        <v>35</v>
      </c>
      <c r="I161" s="11">
        <v>175</v>
      </c>
      <c r="J161" s="11">
        <v>6125</v>
      </c>
      <c r="K161" s="11">
        <v>1837.5</v>
      </c>
      <c r="L161" s="11">
        <v>0.3</v>
      </c>
      <c r="M161" s="12" t="s">
        <v>74</v>
      </c>
    </row>
    <row r="162" spans="1:13">
      <c r="A162" s="5" t="s">
        <v>18</v>
      </c>
      <c r="B162" s="6">
        <v>1001</v>
      </c>
      <c r="C162" s="7">
        <v>44351</v>
      </c>
      <c r="D162" s="6" t="s">
        <v>2</v>
      </c>
      <c r="E162" s="7" t="s">
        <v>55</v>
      </c>
      <c r="F162" s="7" t="s">
        <v>56</v>
      </c>
      <c r="G162" s="7" t="s">
        <v>14</v>
      </c>
      <c r="H162" s="7">
        <v>29</v>
      </c>
      <c r="I162" s="7">
        <v>39</v>
      </c>
      <c r="J162" s="7">
        <v>1131</v>
      </c>
      <c r="K162" s="7">
        <v>565.5</v>
      </c>
      <c r="L162" s="7">
        <v>0.5</v>
      </c>
      <c r="M162" s="8" t="s">
        <v>46</v>
      </c>
    </row>
    <row r="163" spans="1:13">
      <c r="A163" s="9" t="s">
        <v>18</v>
      </c>
      <c r="B163" s="10">
        <v>1001</v>
      </c>
      <c r="C163" s="11">
        <v>44260</v>
      </c>
      <c r="D163" s="10" t="s">
        <v>5</v>
      </c>
      <c r="E163" s="11" t="s">
        <v>122</v>
      </c>
      <c r="F163" s="11" t="s">
        <v>113</v>
      </c>
      <c r="G163" s="11" t="s">
        <v>11</v>
      </c>
      <c r="H163" s="11">
        <v>33</v>
      </c>
      <c r="I163" s="11">
        <v>265</v>
      </c>
      <c r="J163" s="11">
        <v>8745</v>
      </c>
      <c r="K163" s="11">
        <v>5072.1000000000004</v>
      </c>
      <c r="L163" s="11">
        <v>0.58000000000000007</v>
      </c>
      <c r="M163" s="12" t="s">
        <v>46</v>
      </c>
    </row>
    <row r="164" spans="1:13">
      <c r="A164" s="5" t="s">
        <v>22</v>
      </c>
      <c r="B164" s="6">
        <v>1004</v>
      </c>
      <c r="C164" s="7">
        <v>44425</v>
      </c>
      <c r="D164" s="6" t="s">
        <v>3</v>
      </c>
      <c r="E164" s="7" t="s">
        <v>112</v>
      </c>
      <c r="F164" s="7" t="s">
        <v>113</v>
      </c>
      <c r="G164" s="7" t="s">
        <v>14</v>
      </c>
      <c r="H164" s="7">
        <v>38</v>
      </c>
      <c r="I164" s="7">
        <v>87</v>
      </c>
      <c r="J164" s="7">
        <v>3306</v>
      </c>
      <c r="K164" s="7">
        <v>1719.12</v>
      </c>
      <c r="L164" s="7">
        <v>0.52</v>
      </c>
      <c r="M164" s="8" t="s">
        <v>46</v>
      </c>
    </row>
    <row r="165" spans="1:13">
      <c r="A165" s="9" t="s">
        <v>19</v>
      </c>
      <c r="B165" s="10">
        <v>1005</v>
      </c>
      <c r="C165" s="11">
        <v>44466</v>
      </c>
      <c r="D165" s="10" t="s">
        <v>6</v>
      </c>
      <c r="E165" s="11" t="s">
        <v>83</v>
      </c>
      <c r="F165" s="11" t="s">
        <v>84</v>
      </c>
      <c r="G165" s="11" t="s">
        <v>14</v>
      </c>
      <c r="H165" s="11">
        <v>46</v>
      </c>
      <c r="I165" s="11">
        <v>143</v>
      </c>
      <c r="J165" s="11">
        <v>6578</v>
      </c>
      <c r="K165" s="11">
        <v>3091.66</v>
      </c>
      <c r="L165" s="11">
        <v>0.47</v>
      </c>
      <c r="M165" s="12" t="s">
        <v>46</v>
      </c>
    </row>
    <row r="166" spans="1:13">
      <c r="A166" s="5" t="s">
        <v>18</v>
      </c>
      <c r="B166" s="6">
        <v>1001</v>
      </c>
      <c r="C166" s="7">
        <v>44327</v>
      </c>
      <c r="D166" s="6" t="s">
        <v>6</v>
      </c>
      <c r="E166" s="7" t="s">
        <v>127</v>
      </c>
      <c r="F166" s="7" t="s">
        <v>128</v>
      </c>
      <c r="G166" s="7" t="s">
        <v>13</v>
      </c>
      <c r="H166" s="7">
        <v>55</v>
      </c>
      <c r="I166" s="7">
        <v>275</v>
      </c>
      <c r="J166" s="7">
        <v>15125</v>
      </c>
      <c r="K166" s="7">
        <v>3781.25</v>
      </c>
      <c r="L166" s="7">
        <v>0.25</v>
      </c>
      <c r="M166" s="8" t="s">
        <v>43</v>
      </c>
    </row>
    <row r="167" spans="1:13">
      <c r="A167" s="9" t="s">
        <v>18</v>
      </c>
      <c r="B167" s="10">
        <v>1001</v>
      </c>
      <c r="C167" s="11">
        <v>44523</v>
      </c>
      <c r="D167" s="10" t="s">
        <v>6</v>
      </c>
      <c r="E167" s="11" t="s">
        <v>134</v>
      </c>
      <c r="F167" s="11" t="s">
        <v>135</v>
      </c>
      <c r="G167" s="11" t="s">
        <v>14</v>
      </c>
      <c r="H167" s="11">
        <v>45</v>
      </c>
      <c r="I167" s="11">
        <v>375</v>
      </c>
      <c r="J167" s="11">
        <v>16875</v>
      </c>
      <c r="K167" s="11">
        <v>5906.25</v>
      </c>
      <c r="L167" s="11">
        <v>0.35</v>
      </c>
      <c r="M167" s="12" t="s">
        <v>46</v>
      </c>
    </row>
    <row r="168" spans="1:13">
      <c r="A168" s="5" t="s">
        <v>22</v>
      </c>
      <c r="B168" s="6">
        <v>1004</v>
      </c>
      <c r="C168" s="7">
        <v>43995</v>
      </c>
      <c r="D168" s="6" t="s">
        <v>6</v>
      </c>
      <c r="E168" s="7" t="s">
        <v>118</v>
      </c>
      <c r="F168" s="7" t="s">
        <v>119</v>
      </c>
      <c r="G168" s="7" t="s">
        <v>11</v>
      </c>
      <c r="H168" s="7">
        <v>68</v>
      </c>
      <c r="I168" s="7">
        <v>160</v>
      </c>
      <c r="J168" s="7">
        <v>10880</v>
      </c>
      <c r="K168" s="7">
        <v>4787.2</v>
      </c>
      <c r="L168" s="7">
        <v>0.44</v>
      </c>
      <c r="M168" s="8" t="s">
        <v>46</v>
      </c>
    </row>
    <row r="169" spans="1:13">
      <c r="A169" s="9" t="s">
        <v>22</v>
      </c>
      <c r="B169" s="10">
        <v>1004</v>
      </c>
      <c r="C169" s="11">
        <v>43993</v>
      </c>
      <c r="D169" s="10" t="s">
        <v>6</v>
      </c>
      <c r="E169" s="11" t="s">
        <v>118</v>
      </c>
      <c r="F169" s="11" t="s">
        <v>119</v>
      </c>
      <c r="G169" s="11" t="s">
        <v>9</v>
      </c>
      <c r="H169" s="11">
        <v>69</v>
      </c>
      <c r="I169" s="11">
        <v>46</v>
      </c>
      <c r="J169" s="11">
        <v>3174</v>
      </c>
      <c r="K169" s="11">
        <v>1206.1199999999999</v>
      </c>
      <c r="L169" s="11">
        <v>0.38</v>
      </c>
      <c r="M169" s="12" t="s">
        <v>46</v>
      </c>
    </row>
    <row r="170" spans="1:13">
      <c r="A170" s="5" t="s">
        <v>18</v>
      </c>
      <c r="B170" s="6">
        <v>1001</v>
      </c>
      <c r="C170" s="7">
        <v>44049</v>
      </c>
      <c r="D170" s="6" t="s">
        <v>6</v>
      </c>
      <c r="E170" s="7" t="s">
        <v>118</v>
      </c>
      <c r="F170" s="7" t="s">
        <v>119</v>
      </c>
      <c r="G170" s="7" t="s">
        <v>11</v>
      </c>
      <c r="H170" s="7">
        <v>45</v>
      </c>
      <c r="I170" s="7">
        <v>1050</v>
      </c>
      <c r="J170" s="7">
        <v>47250</v>
      </c>
      <c r="K170" s="7">
        <v>21262.5</v>
      </c>
      <c r="L170" s="7">
        <v>0.45</v>
      </c>
      <c r="M170" s="8" t="s">
        <v>74</v>
      </c>
    </row>
    <row r="171" spans="1:13">
      <c r="A171" s="9" t="s">
        <v>19</v>
      </c>
      <c r="B171" s="10">
        <v>1005</v>
      </c>
      <c r="C171" s="11">
        <v>44333</v>
      </c>
      <c r="D171" s="10" t="s">
        <v>6</v>
      </c>
      <c r="E171" s="11" t="s">
        <v>125</v>
      </c>
      <c r="F171" s="11" t="s">
        <v>133</v>
      </c>
      <c r="G171" s="11" t="s">
        <v>9</v>
      </c>
      <c r="H171" s="11">
        <v>60</v>
      </c>
      <c r="I171" s="11">
        <v>600</v>
      </c>
      <c r="J171" s="11">
        <v>36000</v>
      </c>
      <c r="K171" s="11">
        <v>19800</v>
      </c>
      <c r="L171" s="11">
        <v>0.55000000000000004</v>
      </c>
      <c r="M171" s="12" t="s">
        <v>43</v>
      </c>
    </row>
    <row r="172" spans="1:13">
      <c r="A172" s="5" t="s">
        <v>18</v>
      </c>
      <c r="B172" s="6">
        <v>1001</v>
      </c>
      <c r="C172" s="7">
        <v>44277</v>
      </c>
      <c r="D172" s="6" t="s">
        <v>6</v>
      </c>
      <c r="E172" s="7" t="s">
        <v>134</v>
      </c>
      <c r="F172" s="7" t="s">
        <v>135</v>
      </c>
      <c r="G172" s="7" t="s">
        <v>9</v>
      </c>
      <c r="H172" s="7">
        <v>54</v>
      </c>
      <c r="I172" s="7">
        <v>31</v>
      </c>
      <c r="J172" s="7">
        <v>1674</v>
      </c>
      <c r="K172" s="7">
        <v>686.34</v>
      </c>
      <c r="L172" s="7">
        <v>0.41</v>
      </c>
      <c r="M172" s="8" t="s">
        <v>46</v>
      </c>
    </row>
    <row r="173" spans="1:13">
      <c r="A173" s="9" t="s">
        <v>18</v>
      </c>
      <c r="B173" s="10">
        <v>1001</v>
      </c>
      <c r="C173" s="11">
        <v>44414</v>
      </c>
      <c r="D173" s="10" t="s">
        <v>5</v>
      </c>
      <c r="E173" s="11" t="s">
        <v>122</v>
      </c>
      <c r="F173" s="11" t="s">
        <v>113</v>
      </c>
      <c r="G173" s="11" t="s">
        <v>11</v>
      </c>
      <c r="H173" s="11">
        <v>65</v>
      </c>
      <c r="I173" s="11">
        <v>1125</v>
      </c>
      <c r="J173" s="11">
        <v>73125</v>
      </c>
      <c r="K173" s="11">
        <v>32906.25</v>
      </c>
      <c r="L173" s="11">
        <v>0.45</v>
      </c>
      <c r="M173" s="12" t="s">
        <v>46</v>
      </c>
    </row>
    <row r="174" spans="1:13">
      <c r="A174" s="5" t="s">
        <v>18</v>
      </c>
      <c r="B174" s="6">
        <v>1001</v>
      </c>
      <c r="C174" s="7">
        <v>44293</v>
      </c>
      <c r="D174" s="6" t="s">
        <v>3</v>
      </c>
      <c r="E174" s="7" t="s">
        <v>75</v>
      </c>
      <c r="F174" s="7" t="s">
        <v>76</v>
      </c>
      <c r="G174" s="7" t="s">
        <v>9</v>
      </c>
      <c r="H174" s="7">
        <v>44</v>
      </c>
      <c r="I174" s="7">
        <v>15</v>
      </c>
      <c r="J174" s="7">
        <v>660</v>
      </c>
      <c r="K174" s="7">
        <v>264</v>
      </c>
      <c r="L174" s="7">
        <v>0.4</v>
      </c>
      <c r="M174" s="8" t="s">
        <v>46</v>
      </c>
    </row>
    <row r="175" spans="1:13">
      <c r="A175" s="9" t="s">
        <v>22</v>
      </c>
      <c r="B175" s="10">
        <v>1004</v>
      </c>
      <c r="C175" s="11">
        <v>44358</v>
      </c>
      <c r="D175" s="10" t="s">
        <v>6</v>
      </c>
      <c r="E175" s="11" t="s">
        <v>41</v>
      </c>
      <c r="F175" s="11" t="s">
        <v>42</v>
      </c>
      <c r="G175" s="11" t="s">
        <v>11</v>
      </c>
      <c r="H175" s="11">
        <v>28</v>
      </c>
      <c r="I175" s="11">
        <v>182</v>
      </c>
      <c r="J175" s="11">
        <v>5096</v>
      </c>
      <c r="K175" s="11">
        <v>2598.96</v>
      </c>
      <c r="L175" s="11">
        <v>0.51</v>
      </c>
      <c r="M175" s="12" t="s">
        <v>46</v>
      </c>
    </row>
    <row r="176" spans="1:13">
      <c r="A176" s="5" t="s">
        <v>22</v>
      </c>
      <c r="B176" s="6">
        <v>1004</v>
      </c>
      <c r="C176" s="7">
        <v>44218</v>
      </c>
      <c r="D176" s="6" t="s">
        <v>6</v>
      </c>
      <c r="E176" s="7" t="s">
        <v>125</v>
      </c>
      <c r="F176" s="7" t="s">
        <v>126</v>
      </c>
      <c r="G176" s="7" t="s">
        <v>9</v>
      </c>
      <c r="H176" s="7">
        <v>59</v>
      </c>
      <c r="I176" s="7">
        <v>263</v>
      </c>
      <c r="J176" s="7">
        <v>15517</v>
      </c>
      <c r="K176" s="7">
        <v>8844.69</v>
      </c>
      <c r="L176" s="7">
        <v>0.57000000000000006</v>
      </c>
      <c r="M176" s="8" t="s">
        <v>43</v>
      </c>
    </row>
    <row r="177" spans="1:13">
      <c r="A177" s="9" t="s">
        <v>22</v>
      </c>
      <c r="B177" s="10">
        <v>1004</v>
      </c>
      <c r="C177" s="11">
        <v>44393</v>
      </c>
      <c r="D177" s="10" t="s">
        <v>4</v>
      </c>
      <c r="E177" s="11" t="s">
        <v>53</v>
      </c>
      <c r="F177" s="11" t="s">
        <v>54</v>
      </c>
      <c r="G177" s="11" t="s">
        <v>13</v>
      </c>
      <c r="H177" s="11">
        <v>86</v>
      </c>
      <c r="I177" s="11">
        <v>168</v>
      </c>
      <c r="J177" s="11">
        <v>14448</v>
      </c>
      <c r="K177" s="11">
        <v>7801.92</v>
      </c>
      <c r="L177" s="11">
        <v>0.54</v>
      </c>
      <c r="M177" s="12" t="s">
        <v>46</v>
      </c>
    </row>
    <row r="178" spans="1:13">
      <c r="A178" s="5" t="s">
        <v>18</v>
      </c>
      <c r="B178" s="6">
        <v>1001</v>
      </c>
      <c r="C178" s="7">
        <v>44444</v>
      </c>
      <c r="D178" s="6" t="s">
        <v>5</v>
      </c>
      <c r="E178" s="7" t="s">
        <v>122</v>
      </c>
      <c r="F178" s="7" t="s">
        <v>113</v>
      </c>
      <c r="G178" s="7" t="s">
        <v>9</v>
      </c>
      <c r="H178" s="7">
        <v>50</v>
      </c>
      <c r="I178" s="7">
        <v>700</v>
      </c>
      <c r="J178" s="7">
        <v>35000</v>
      </c>
      <c r="K178" s="7">
        <v>12250</v>
      </c>
      <c r="L178" s="7">
        <v>0.35</v>
      </c>
      <c r="M178" s="8" t="s">
        <v>46</v>
      </c>
    </row>
    <row r="179" spans="1:13">
      <c r="A179" s="9" t="s">
        <v>19</v>
      </c>
      <c r="B179" s="10">
        <v>1005</v>
      </c>
      <c r="C179" s="11">
        <v>44223</v>
      </c>
      <c r="D179" s="10" t="s">
        <v>2</v>
      </c>
      <c r="E179" s="11" t="s">
        <v>136</v>
      </c>
      <c r="F179" s="11" t="s">
        <v>137</v>
      </c>
      <c r="G179" s="11" t="s">
        <v>11</v>
      </c>
      <c r="H179" s="11">
        <v>40</v>
      </c>
      <c r="I179" s="11">
        <v>675</v>
      </c>
      <c r="J179" s="11">
        <v>27000</v>
      </c>
      <c r="K179" s="11">
        <v>12150</v>
      </c>
      <c r="L179" s="11">
        <v>0.45</v>
      </c>
      <c r="M179" s="12" t="s">
        <v>43</v>
      </c>
    </row>
    <row r="180" spans="1:13">
      <c r="A180" s="5" t="s">
        <v>22</v>
      </c>
      <c r="B180" s="6">
        <v>1004</v>
      </c>
      <c r="C180" s="7">
        <v>44425</v>
      </c>
      <c r="D180" s="6" t="s">
        <v>3</v>
      </c>
      <c r="E180" s="7" t="s">
        <v>112</v>
      </c>
      <c r="F180" s="7" t="s">
        <v>113</v>
      </c>
      <c r="G180" s="7" t="s">
        <v>10</v>
      </c>
      <c r="H180" s="7">
        <v>45</v>
      </c>
      <c r="I180" s="7">
        <v>300</v>
      </c>
      <c r="J180" s="7">
        <v>13500</v>
      </c>
      <c r="K180" s="7">
        <v>5400</v>
      </c>
      <c r="L180" s="7">
        <v>0.4</v>
      </c>
      <c r="M180" s="8" t="s">
        <v>74</v>
      </c>
    </row>
    <row r="181" spans="1:13">
      <c r="A181" s="9" t="s">
        <v>22</v>
      </c>
      <c r="B181" s="10">
        <v>1004</v>
      </c>
      <c r="C181" s="11">
        <v>43910</v>
      </c>
      <c r="D181" s="10" t="s">
        <v>6</v>
      </c>
      <c r="E181" s="11" t="s">
        <v>114</v>
      </c>
      <c r="F181" s="11" t="s">
        <v>115</v>
      </c>
      <c r="G181" s="11" t="s">
        <v>12</v>
      </c>
      <c r="H181" s="11">
        <v>37</v>
      </c>
      <c r="I181" s="11">
        <v>128</v>
      </c>
      <c r="J181" s="11">
        <v>4736</v>
      </c>
      <c r="K181" s="11">
        <v>1231.3599999999999</v>
      </c>
      <c r="L181" s="11">
        <v>0.26</v>
      </c>
      <c r="M181" s="12" t="s">
        <v>46</v>
      </c>
    </row>
    <row r="182" spans="1:13">
      <c r="A182" s="5" t="s">
        <v>20</v>
      </c>
      <c r="B182" s="6">
        <v>1003</v>
      </c>
      <c r="C182" s="7">
        <v>44512</v>
      </c>
      <c r="D182" s="6" t="s">
        <v>2</v>
      </c>
      <c r="E182" s="7" t="s">
        <v>51</v>
      </c>
      <c r="F182" s="7" t="s">
        <v>52</v>
      </c>
      <c r="G182" s="7" t="s">
        <v>9</v>
      </c>
      <c r="H182" s="7">
        <v>60</v>
      </c>
      <c r="I182" s="7">
        <v>150</v>
      </c>
      <c r="J182" s="7">
        <v>9000</v>
      </c>
      <c r="K182" s="7">
        <v>3150</v>
      </c>
      <c r="L182" s="7">
        <v>0.35</v>
      </c>
      <c r="M182" s="8" t="s">
        <v>46</v>
      </c>
    </row>
    <row r="183" spans="1:13">
      <c r="A183" s="9" t="s">
        <v>18</v>
      </c>
      <c r="B183" s="10">
        <v>1001</v>
      </c>
      <c r="C183" s="11">
        <v>44172</v>
      </c>
      <c r="D183" s="10" t="s">
        <v>2</v>
      </c>
      <c r="E183" s="11" t="s">
        <v>96</v>
      </c>
      <c r="F183" s="11" t="s">
        <v>97</v>
      </c>
      <c r="G183" s="11" t="s">
        <v>13</v>
      </c>
      <c r="H183" s="11">
        <v>24</v>
      </c>
      <c r="I183" s="11">
        <v>31</v>
      </c>
      <c r="J183" s="11">
        <v>744</v>
      </c>
      <c r="K183" s="11">
        <v>342.24</v>
      </c>
      <c r="L183" s="11">
        <v>0.46</v>
      </c>
      <c r="M183" s="12" t="s">
        <v>46</v>
      </c>
    </row>
    <row r="184" spans="1:13">
      <c r="A184" s="5" t="s">
        <v>19</v>
      </c>
      <c r="B184" s="6">
        <v>1005</v>
      </c>
      <c r="C184" s="7">
        <v>44526</v>
      </c>
      <c r="D184" s="6" t="s">
        <v>6</v>
      </c>
      <c r="E184" s="7" t="s">
        <v>83</v>
      </c>
      <c r="F184" s="7" t="s">
        <v>84</v>
      </c>
      <c r="G184" s="7" t="s">
        <v>11</v>
      </c>
      <c r="H184" s="7">
        <v>60</v>
      </c>
      <c r="I184" s="7">
        <v>550</v>
      </c>
      <c r="J184" s="7">
        <v>33000</v>
      </c>
      <c r="K184" s="7">
        <v>11550</v>
      </c>
      <c r="L184" s="7">
        <v>0.35</v>
      </c>
      <c r="M184" s="8" t="s">
        <v>46</v>
      </c>
    </row>
    <row r="185" spans="1:13">
      <c r="A185" s="9" t="s">
        <v>20</v>
      </c>
      <c r="B185" s="10">
        <v>1003</v>
      </c>
      <c r="C185" s="11">
        <v>44445</v>
      </c>
      <c r="D185" s="10" t="s">
        <v>4</v>
      </c>
      <c r="E185" s="11" t="s">
        <v>61</v>
      </c>
      <c r="F185" s="11" t="s">
        <v>62</v>
      </c>
      <c r="G185" s="11" t="s">
        <v>11</v>
      </c>
      <c r="H185" s="11">
        <v>45</v>
      </c>
      <c r="I185" s="11">
        <v>825</v>
      </c>
      <c r="J185" s="11">
        <v>37125</v>
      </c>
      <c r="K185" s="11">
        <v>18562.5</v>
      </c>
      <c r="L185" s="11">
        <v>0.49999999999999989</v>
      </c>
      <c r="M185" s="12" t="s">
        <v>43</v>
      </c>
    </row>
    <row r="186" spans="1:13">
      <c r="A186" s="5" t="s">
        <v>20</v>
      </c>
      <c r="B186" s="6">
        <v>1003</v>
      </c>
      <c r="C186" s="7">
        <v>44351</v>
      </c>
      <c r="D186" s="6" t="s">
        <v>5</v>
      </c>
      <c r="E186" s="7" t="s">
        <v>89</v>
      </c>
      <c r="F186" s="7" t="s">
        <v>90</v>
      </c>
      <c r="G186" s="7" t="s">
        <v>13</v>
      </c>
      <c r="H186" s="7">
        <v>49</v>
      </c>
      <c r="I186" s="7">
        <v>169</v>
      </c>
      <c r="J186" s="7">
        <v>8281</v>
      </c>
      <c r="K186" s="7">
        <v>4223.3100000000004</v>
      </c>
      <c r="L186" s="7">
        <v>0.51</v>
      </c>
      <c r="M186" s="8" t="s">
        <v>46</v>
      </c>
    </row>
    <row r="187" spans="1:13">
      <c r="A187" s="9" t="s">
        <v>22</v>
      </c>
      <c r="B187" s="10">
        <v>1004</v>
      </c>
      <c r="C187" s="11">
        <v>44451</v>
      </c>
      <c r="D187" s="10" t="s">
        <v>6</v>
      </c>
      <c r="E187" s="11" t="s">
        <v>41</v>
      </c>
      <c r="F187" s="11" t="s">
        <v>42</v>
      </c>
      <c r="G187" s="11" t="s">
        <v>13</v>
      </c>
      <c r="H187" s="11">
        <v>7</v>
      </c>
      <c r="I187" s="11">
        <v>111</v>
      </c>
      <c r="J187" s="11">
        <v>777</v>
      </c>
      <c r="K187" s="11">
        <v>357.42</v>
      </c>
      <c r="L187" s="11">
        <v>0.46</v>
      </c>
      <c r="M187" s="12" t="s">
        <v>43</v>
      </c>
    </row>
    <row r="188" spans="1:13">
      <c r="A188" s="5" t="s">
        <v>20</v>
      </c>
      <c r="B188" s="6">
        <v>1003</v>
      </c>
      <c r="C188" s="7">
        <v>44421</v>
      </c>
      <c r="D188" s="6" t="s">
        <v>5</v>
      </c>
      <c r="E188" s="7" t="s">
        <v>57</v>
      </c>
      <c r="F188" s="7" t="s">
        <v>58</v>
      </c>
      <c r="G188" s="7" t="s">
        <v>14</v>
      </c>
      <c r="H188" s="7">
        <v>42</v>
      </c>
      <c r="I188" s="7">
        <v>150</v>
      </c>
      <c r="J188" s="7">
        <v>6300</v>
      </c>
      <c r="K188" s="7">
        <v>2646</v>
      </c>
      <c r="L188" s="7">
        <v>0.42</v>
      </c>
      <c r="M188" s="8" t="s">
        <v>43</v>
      </c>
    </row>
    <row r="189" spans="1:13">
      <c r="A189" s="9" t="s">
        <v>19</v>
      </c>
      <c r="B189" s="10">
        <v>1005</v>
      </c>
      <c r="C189" s="11">
        <v>44201</v>
      </c>
      <c r="D189" s="10" t="s">
        <v>2</v>
      </c>
      <c r="E189" s="11" t="s">
        <v>136</v>
      </c>
      <c r="F189" s="11" t="s">
        <v>137</v>
      </c>
      <c r="G189" s="11" t="s">
        <v>14</v>
      </c>
      <c r="H189" s="11">
        <v>43</v>
      </c>
      <c r="I189" s="11">
        <v>122</v>
      </c>
      <c r="J189" s="11">
        <v>5246</v>
      </c>
      <c r="K189" s="11">
        <v>2990.22</v>
      </c>
      <c r="L189" s="11">
        <v>0.57000000000000006</v>
      </c>
      <c r="M189" s="12" t="s">
        <v>46</v>
      </c>
    </row>
    <row r="190" spans="1:13">
      <c r="A190" s="5" t="s">
        <v>18</v>
      </c>
      <c r="B190" s="6">
        <v>1001</v>
      </c>
      <c r="C190" s="7">
        <v>44401</v>
      </c>
      <c r="D190" s="6" t="s">
        <v>2</v>
      </c>
      <c r="E190" s="7" t="s">
        <v>55</v>
      </c>
      <c r="F190" s="7" t="s">
        <v>56</v>
      </c>
      <c r="G190" s="7" t="s">
        <v>9</v>
      </c>
      <c r="H190" s="7">
        <v>48</v>
      </c>
      <c r="I190" s="7">
        <v>27</v>
      </c>
      <c r="J190" s="7">
        <v>1296</v>
      </c>
      <c r="K190" s="7">
        <v>583.20000000000005</v>
      </c>
      <c r="L190" s="7">
        <v>0.45</v>
      </c>
      <c r="M190" s="8" t="s">
        <v>46</v>
      </c>
    </row>
    <row r="191" spans="1:13">
      <c r="A191" s="9" t="s">
        <v>18</v>
      </c>
      <c r="B191" s="10">
        <v>1001</v>
      </c>
      <c r="C191" s="11">
        <v>44357</v>
      </c>
      <c r="D191" s="10" t="s">
        <v>6</v>
      </c>
      <c r="E191" s="11" t="s">
        <v>127</v>
      </c>
      <c r="F191" s="11" t="s">
        <v>128</v>
      </c>
      <c r="G191" s="11" t="s">
        <v>14</v>
      </c>
      <c r="H191" s="11">
        <v>71</v>
      </c>
      <c r="I191" s="11">
        <v>180</v>
      </c>
      <c r="J191" s="11">
        <v>12780</v>
      </c>
      <c r="K191" s="11">
        <v>4600.8</v>
      </c>
      <c r="L191" s="11">
        <v>0.36</v>
      </c>
      <c r="M191" s="12" t="s">
        <v>46</v>
      </c>
    </row>
    <row r="192" spans="1:13">
      <c r="A192" s="5" t="s">
        <v>20</v>
      </c>
      <c r="B192" s="6">
        <v>1003</v>
      </c>
      <c r="C192" s="7">
        <v>44299</v>
      </c>
      <c r="D192" s="6" t="s">
        <v>4</v>
      </c>
      <c r="E192" s="7" t="s">
        <v>104</v>
      </c>
      <c r="F192" s="7" t="s">
        <v>105</v>
      </c>
      <c r="G192" s="7" t="s">
        <v>9</v>
      </c>
      <c r="H192" s="7">
        <v>30</v>
      </c>
      <c r="I192" s="7">
        <v>150</v>
      </c>
      <c r="J192" s="7">
        <v>4500</v>
      </c>
      <c r="K192" s="7">
        <v>1755</v>
      </c>
      <c r="L192" s="7">
        <v>0.39</v>
      </c>
      <c r="M192" s="8" t="s">
        <v>43</v>
      </c>
    </row>
    <row r="193" spans="1:13">
      <c r="A193" s="9" t="s">
        <v>18</v>
      </c>
      <c r="B193" s="10">
        <v>1001</v>
      </c>
      <c r="C193" s="11">
        <v>44458</v>
      </c>
      <c r="D193" s="10" t="s">
        <v>2</v>
      </c>
      <c r="E193" s="11" t="s">
        <v>91</v>
      </c>
      <c r="F193" s="11" t="s">
        <v>92</v>
      </c>
      <c r="G193" s="11" t="s">
        <v>11</v>
      </c>
      <c r="H193" s="11">
        <v>32</v>
      </c>
      <c r="I193" s="11">
        <v>174</v>
      </c>
      <c r="J193" s="11">
        <v>5568</v>
      </c>
      <c r="K193" s="11">
        <v>2784</v>
      </c>
      <c r="L193" s="11">
        <v>0.5</v>
      </c>
      <c r="M193" s="12" t="s">
        <v>46</v>
      </c>
    </row>
    <row r="194" spans="1:13">
      <c r="A194" s="5" t="s">
        <v>21</v>
      </c>
      <c r="B194" s="6">
        <v>1002</v>
      </c>
      <c r="C194" s="7">
        <v>44425</v>
      </c>
      <c r="D194" s="6" t="s">
        <v>5</v>
      </c>
      <c r="E194" s="7" t="s">
        <v>47</v>
      </c>
      <c r="F194" s="7" t="s">
        <v>48</v>
      </c>
      <c r="G194" s="7" t="s">
        <v>13</v>
      </c>
      <c r="H194" s="7">
        <v>80</v>
      </c>
      <c r="I194" s="7">
        <v>475</v>
      </c>
      <c r="J194" s="7">
        <v>38000</v>
      </c>
      <c r="K194" s="7">
        <v>11400</v>
      </c>
      <c r="L194" s="7">
        <v>0.3</v>
      </c>
      <c r="M194" s="8" t="s">
        <v>74</v>
      </c>
    </row>
    <row r="195" spans="1:13">
      <c r="A195" s="9" t="s">
        <v>20</v>
      </c>
      <c r="B195" s="10">
        <v>1003</v>
      </c>
      <c r="C195" s="11">
        <v>44270</v>
      </c>
      <c r="D195" s="10" t="s">
        <v>2</v>
      </c>
      <c r="E195" s="11" t="s">
        <v>72</v>
      </c>
      <c r="F195" s="11" t="s">
        <v>73</v>
      </c>
      <c r="G195" s="11" t="s">
        <v>9</v>
      </c>
      <c r="H195" s="11">
        <v>45</v>
      </c>
      <c r="I195" s="11">
        <v>375</v>
      </c>
      <c r="J195" s="11">
        <v>16875</v>
      </c>
      <c r="K195" s="11">
        <v>6750</v>
      </c>
      <c r="L195" s="11">
        <v>0.4</v>
      </c>
      <c r="M195" s="12" t="s">
        <v>74</v>
      </c>
    </row>
    <row r="196" spans="1:13">
      <c r="A196" s="5" t="s">
        <v>21</v>
      </c>
      <c r="B196" s="6">
        <v>1002</v>
      </c>
      <c r="C196" s="7">
        <v>44335</v>
      </c>
      <c r="D196" s="6" t="s">
        <v>4</v>
      </c>
      <c r="E196" s="7" t="s">
        <v>79</v>
      </c>
      <c r="F196" s="7" t="s">
        <v>80</v>
      </c>
      <c r="G196" s="7" t="s">
        <v>14</v>
      </c>
      <c r="H196" s="7">
        <v>27</v>
      </c>
      <c r="I196" s="7">
        <v>119</v>
      </c>
      <c r="J196" s="7">
        <v>3213</v>
      </c>
      <c r="K196" s="7">
        <v>1413.72</v>
      </c>
      <c r="L196" s="7">
        <v>0.44</v>
      </c>
      <c r="M196" s="8" t="s">
        <v>43</v>
      </c>
    </row>
    <row r="197" spans="1:13">
      <c r="A197" s="9" t="s">
        <v>19</v>
      </c>
      <c r="B197" s="10">
        <v>1005</v>
      </c>
      <c r="C197" s="11">
        <v>44295</v>
      </c>
      <c r="D197" s="10" t="s">
        <v>6</v>
      </c>
      <c r="E197" s="11" t="s">
        <v>125</v>
      </c>
      <c r="F197" s="11" t="s">
        <v>133</v>
      </c>
      <c r="G197" s="11" t="s">
        <v>14</v>
      </c>
      <c r="H197" s="11">
        <v>50</v>
      </c>
      <c r="I197" s="11">
        <v>625</v>
      </c>
      <c r="J197" s="11">
        <v>31250</v>
      </c>
      <c r="K197" s="11">
        <v>12500</v>
      </c>
      <c r="L197" s="11">
        <v>0.4</v>
      </c>
      <c r="M197" s="12" t="s">
        <v>43</v>
      </c>
    </row>
    <row r="198" spans="1:13">
      <c r="A198" s="5" t="s">
        <v>20</v>
      </c>
      <c r="B198" s="6">
        <v>1003</v>
      </c>
      <c r="C198" s="7">
        <v>44483</v>
      </c>
      <c r="D198" s="6" t="s">
        <v>4</v>
      </c>
      <c r="E198" s="7" t="s">
        <v>64</v>
      </c>
      <c r="F198" s="7" t="s">
        <v>65</v>
      </c>
      <c r="G198" s="7" t="s">
        <v>9</v>
      </c>
      <c r="H198" s="7">
        <v>60</v>
      </c>
      <c r="I198" s="7">
        <v>475</v>
      </c>
      <c r="J198" s="7">
        <v>28500</v>
      </c>
      <c r="K198" s="7">
        <v>9975</v>
      </c>
      <c r="L198" s="7">
        <v>0.35</v>
      </c>
      <c r="M198" s="8" t="s">
        <v>43</v>
      </c>
    </row>
    <row r="199" spans="1:13">
      <c r="A199" s="9" t="s">
        <v>22</v>
      </c>
      <c r="B199" s="10">
        <v>1004</v>
      </c>
      <c r="C199" s="11">
        <v>43844</v>
      </c>
      <c r="D199" s="10" t="s">
        <v>6</v>
      </c>
      <c r="E199" s="11" t="s">
        <v>87</v>
      </c>
      <c r="F199" s="11" t="s">
        <v>88</v>
      </c>
      <c r="G199" s="11" t="s">
        <v>11</v>
      </c>
      <c r="H199" s="11">
        <v>31</v>
      </c>
      <c r="I199" s="11">
        <v>182</v>
      </c>
      <c r="J199" s="11">
        <v>5642</v>
      </c>
      <c r="K199" s="11">
        <v>2538.9</v>
      </c>
      <c r="L199" s="11">
        <v>0.45</v>
      </c>
      <c r="M199" s="12" t="s">
        <v>43</v>
      </c>
    </row>
    <row r="200" spans="1:13">
      <c r="A200" s="5" t="s">
        <v>20</v>
      </c>
      <c r="B200" s="6">
        <v>1003</v>
      </c>
      <c r="C200" s="7">
        <v>44284</v>
      </c>
      <c r="D200" s="6" t="s">
        <v>4</v>
      </c>
      <c r="E200" s="7" t="s">
        <v>104</v>
      </c>
      <c r="F200" s="7" t="s">
        <v>105</v>
      </c>
      <c r="G200" s="7" t="s">
        <v>10</v>
      </c>
      <c r="H200" s="7">
        <v>24</v>
      </c>
      <c r="I200" s="7">
        <v>176</v>
      </c>
      <c r="J200" s="7">
        <v>4224</v>
      </c>
      <c r="K200" s="7">
        <v>2154.2399999999998</v>
      </c>
      <c r="L200" s="7">
        <v>0.51</v>
      </c>
      <c r="M200" s="8" t="s">
        <v>46</v>
      </c>
    </row>
    <row r="201" spans="1:13">
      <c r="A201" s="9" t="s">
        <v>20</v>
      </c>
      <c r="B201" s="10">
        <v>1003</v>
      </c>
      <c r="C201" s="11">
        <v>44278</v>
      </c>
      <c r="D201" s="10" t="s">
        <v>4</v>
      </c>
      <c r="E201" s="11" t="s">
        <v>104</v>
      </c>
      <c r="F201" s="11" t="s">
        <v>105</v>
      </c>
      <c r="G201" s="11" t="s">
        <v>10</v>
      </c>
      <c r="H201" s="11">
        <v>40</v>
      </c>
      <c r="I201" s="11">
        <v>650</v>
      </c>
      <c r="J201" s="11">
        <v>26000</v>
      </c>
      <c r="K201" s="11">
        <v>10400</v>
      </c>
      <c r="L201" s="11">
        <v>0.4</v>
      </c>
      <c r="M201" s="12" t="s">
        <v>43</v>
      </c>
    </row>
    <row r="202" spans="1:13">
      <c r="A202" s="5" t="s">
        <v>22</v>
      </c>
      <c r="B202" s="6">
        <v>1004</v>
      </c>
      <c r="C202" s="7">
        <v>44553</v>
      </c>
      <c r="D202" s="6" t="s">
        <v>6</v>
      </c>
      <c r="E202" s="7" t="s">
        <v>93</v>
      </c>
      <c r="F202" s="7" t="s">
        <v>94</v>
      </c>
      <c r="G202" s="7" t="s">
        <v>12</v>
      </c>
      <c r="H202" s="7">
        <v>55</v>
      </c>
      <c r="I202" s="7">
        <v>201</v>
      </c>
      <c r="J202" s="7">
        <v>11055</v>
      </c>
      <c r="K202" s="7">
        <v>3758.7</v>
      </c>
      <c r="L202" s="7">
        <v>0.34</v>
      </c>
      <c r="M202" s="8" t="s">
        <v>43</v>
      </c>
    </row>
    <row r="203" spans="1:13">
      <c r="A203" s="9" t="s">
        <v>20</v>
      </c>
      <c r="B203" s="10">
        <v>1003</v>
      </c>
      <c r="C203" s="11">
        <v>44541</v>
      </c>
      <c r="D203" s="10" t="s">
        <v>2</v>
      </c>
      <c r="E203" s="11" t="s">
        <v>51</v>
      </c>
      <c r="F203" s="11" t="s">
        <v>52</v>
      </c>
      <c r="G203" s="11" t="s">
        <v>10</v>
      </c>
      <c r="H203" s="11">
        <v>50</v>
      </c>
      <c r="I203" s="11">
        <v>300</v>
      </c>
      <c r="J203" s="11">
        <v>15000</v>
      </c>
      <c r="K203" s="11">
        <v>4500</v>
      </c>
      <c r="L203" s="11">
        <v>0.3</v>
      </c>
      <c r="M203" s="12" t="s">
        <v>46</v>
      </c>
    </row>
    <row r="204" spans="1:13">
      <c r="A204" s="5" t="s">
        <v>18</v>
      </c>
      <c r="B204" s="6">
        <v>1001</v>
      </c>
      <c r="C204" s="7">
        <v>44492</v>
      </c>
      <c r="D204" s="6" t="s">
        <v>6</v>
      </c>
      <c r="E204" s="7" t="s">
        <v>134</v>
      </c>
      <c r="F204" s="7" t="s">
        <v>135</v>
      </c>
      <c r="G204" s="7" t="s">
        <v>10</v>
      </c>
      <c r="H204" s="7">
        <v>50</v>
      </c>
      <c r="I204" s="7">
        <v>500</v>
      </c>
      <c r="J204" s="7">
        <v>25000</v>
      </c>
      <c r="K204" s="7">
        <v>10000</v>
      </c>
      <c r="L204" s="7">
        <v>0.4</v>
      </c>
      <c r="M204" s="8" t="s">
        <v>46</v>
      </c>
    </row>
    <row r="205" spans="1:13">
      <c r="A205" s="9" t="s">
        <v>21</v>
      </c>
      <c r="B205" s="10">
        <v>1002</v>
      </c>
      <c r="C205" s="11">
        <v>44457</v>
      </c>
      <c r="D205" s="10" t="s">
        <v>5</v>
      </c>
      <c r="E205" s="11" t="s">
        <v>47</v>
      </c>
      <c r="F205" s="11" t="s">
        <v>48</v>
      </c>
      <c r="G205" s="11" t="s">
        <v>14</v>
      </c>
      <c r="H205" s="11">
        <v>60</v>
      </c>
      <c r="I205" s="11">
        <v>300</v>
      </c>
      <c r="J205" s="11">
        <v>18000</v>
      </c>
      <c r="K205" s="11">
        <v>5400</v>
      </c>
      <c r="L205" s="11">
        <v>0.3</v>
      </c>
      <c r="M205" s="12" t="s">
        <v>74</v>
      </c>
    </row>
    <row r="206" spans="1:13">
      <c r="A206" s="5" t="s">
        <v>20</v>
      </c>
      <c r="B206" s="6">
        <v>1003</v>
      </c>
      <c r="C206" s="7">
        <v>44437</v>
      </c>
      <c r="D206" s="6" t="s">
        <v>4</v>
      </c>
      <c r="E206" s="7" t="s">
        <v>64</v>
      </c>
      <c r="F206" s="7" t="s">
        <v>65</v>
      </c>
      <c r="G206" s="7" t="s">
        <v>11</v>
      </c>
      <c r="H206" s="7">
        <v>20</v>
      </c>
      <c r="I206" s="7">
        <v>700</v>
      </c>
      <c r="J206" s="7">
        <v>14000</v>
      </c>
      <c r="K206" s="7">
        <v>4900</v>
      </c>
      <c r="L206" s="7">
        <v>0.35</v>
      </c>
      <c r="M206" s="8" t="s">
        <v>43</v>
      </c>
    </row>
    <row r="207" spans="1:13">
      <c r="A207" s="9" t="s">
        <v>17</v>
      </c>
      <c r="B207" s="10">
        <v>1006</v>
      </c>
      <c r="C207" s="11">
        <v>44540</v>
      </c>
      <c r="D207" s="10" t="s">
        <v>3</v>
      </c>
      <c r="E207" s="11" t="s">
        <v>49</v>
      </c>
      <c r="F207" s="11" t="s">
        <v>50</v>
      </c>
      <c r="G207" s="11" t="s">
        <v>13</v>
      </c>
      <c r="H207" s="11">
        <v>60</v>
      </c>
      <c r="I207" s="11">
        <v>325</v>
      </c>
      <c r="J207" s="11">
        <v>19500</v>
      </c>
      <c r="K207" s="11">
        <v>6825</v>
      </c>
      <c r="L207" s="11">
        <v>0.35</v>
      </c>
      <c r="M207" s="12" t="s">
        <v>74</v>
      </c>
    </row>
    <row r="208" spans="1:13">
      <c r="A208" s="5" t="s">
        <v>22</v>
      </c>
      <c r="B208" s="6">
        <v>1004</v>
      </c>
      <c r="C208" s="7">
        <v>44232</v>
      </c>
      <c r="D208" s="6" t="s">
        <v>6</v>
      </c>
      <c r="E208" s="7" t="s">
        <v>125</v>
      </c>
      <c r="F208" s="7" t="s">
        <v>126</v>
      </c>
      <c r="G208" s="7" t="s">
        <v>11</v>
      </c>
      <c r="H208" s="7">
        <v>52</v>
      </c>
      <c r="I208" s="7">
        <v>263</v>
      </c>
      <c r="J208" s="7">
        <v>13676</v>
      </c>
      <c r="K208" s="7">
        <v>6017.44</v>
      </c>
      <c r="L208" s="7">
        <v>0.44000000000000011</v>
      </c>
      <c r="M208" s="8" t="s">
        <v>46</v>
      </c>
    </row>
    <row r="209" spans="1:13">
      <c r="A209" s="9" t="s">
        <v>19</v>
      </c>
      <c r="B209" s="10">
        <v>1005</v>
      </c>
      <c r="C209" s="11">
        <v>44355</v>
      </c>
      <c r="D209" s="10" t="s">
        <v>3</v>
      </c>
      <c r="E209" s="11" t="s">
        <v>85</v>
      </c>
      <c r="F209" s="11" t="s">
        <v>86</v>
      </c>
      <c r="G209" s="11" t="s">
        <v>9</v>
      </c>
      <c r="H209" s="11">
        <v>50</v>
      </c>
      <c r="I209" s="11">
        <v>250</v>
      </c>
      <c r="J209" s="11">
        <v>12500</v>
      </c>
      <c r="K209" s="11">
        <v>3750</v>
      </c>
      <c r="L209" s="11">
        <v>0.3</v>
      </c>
      <c r="M209" s="12" t="s">
        <v>74</v>
      </c>
    </row>
    <row r="210" spans="1:13">
      <c r="A210" s="5" t="s">
        <v>18</v>
      </c>
      <c r="B210" s="6">
        <v>1001</v>
      </c>
      <c r="C210" s="7">
        <v>44509</v>
      </c>
      <c r="D210" s="6" t="s">
        <v>2</v>
      </c>
      <c r="E210" s="7" t="s">
        <v>68</v>
      </c>
      <c r="F210" s="7" t="s">
        <v>69</v>
      </c>
      <c r="G210" s="7" t="s">
        <v>12</v>
      </c>
      <c r="H210" s="7">
        <v>60</v>
      </c>
      <c r="I210" s="7">
        <v>65</v>
      </c>
      <c r="J210" s="7">
        <v>3900</v>
      </c>
      <c r="K210" s="7">
        <v>1989</v>
      </c>
      <c r="L210" s="7">
        <v>0.51</v>
      </c>
      <c r="M210" s="8" t="s">
        <v>46</v>
      </c>
    </row>
    <row r="211" spans="1:13">
      <c r="A211" s="9" t="s">
        <v>19</v>
      </c>
      <c r="B211" s="10">
        <v>1005</v>
      </c>
      <c r="C211" s="11">
        <v>44268</v>
      </c>
      <c r="D211" s="10" t="s">
        <v>6</v>
      </c>
      <c r="E211" s="11" t="s">
        <v>125</v>
      </c>
      <c r="F211" s="11" t="s">
        <v>133</v>
      </c>
      <c r="G211" s="11" t="s">
        <v>11</v>
      </c>
      <c r="H211" s="11">
        <v>34</v>
      </c>
      <c r="I211" s="11">
        <v>225</v>
      </c>
      <c r="J211" s="11">
        <v>7650</v>
      </c>
      <c r="K211" s="11">
        <v>4054.5</v>
      </c>
      <c r="L211" s="11">
        <v>0.53</v>
      </c>
      <c r="M211" s="12" t="s">
        <v>46</v>
      </c>
    </row>
    <row r="212" spans="1:13">
      <c r="A212" s="5" t="s">
        <v>18</v>
      </c>
      <c r="B212" s="6">
        <v>1001</v>
      </c>
      <c r="C212" s="7">
        <v>44233</v>
      </c>
      <c r="D212" s="6" t="s">
        <v>2</v>
      </c>
      <c r="E212" s="7" t="s">
        <v>138</v>
      </c>
      <c r="F212" s="7" t="s">
        <v>139</v>
      </c>
      <c r="G212" s="7" t="s">
        <v>9</v>
      </c>
      <c r="H212" s="7">
        <v>40</v>
      </c>
      <c r="I212" s="7">
        <v>150</v>
      </c>
      <c r="J212" s="7">
        <v>6000</v>
      </c>
      <c r="K212" s="7">
        <v>3000</v>
      </c>
      <c r="L212" s="7">
        <v>0.5</v>
      </c>
      <c r="M212" s="8" t="s">
        <v>74</v>
      </c>
    </row>
    <row r="213" spans="1:13">
      <c r="A213" s="9" t="s">
        <v>22</v>
      </c>
      <c r="B213" s="10">
        <v>1004</v>
      </c>
      <c r="C213" s="11">
        <v>44261</v>
      </c>
      <c r="D213" s="10" t="s">
        <v>6</v>
      </c>
      <c r="E213" s="11" t="s">
        <v>120</v>
      </c>
      <c r="F213" s="11" t="s">
        <v>121</v>
      </c>
      <c r="G213" s="11" t="s">
        <v>12</v>
      </c>
      <c r="H213" s="11">
        <v>25</v>
      </c>
      <c r="I213" s="11">
        <v>124</v>
      </c>
      <c r="J213" s="11">
        <v>3100</v>
      </c>
      <c r="K213" s="11">
        <v>1643</v>
      </c>
      <c r="L213" s="11">
        <v>0.53</v>
      </c>
      <c r="M213" s="12" t="s">
        <v>43</v>
      </c>
    </row>
    <row r="214" spans="1:13">
      <c r="A214" s="5" t="s">
        <v>18</v>
      </c>
      <c r="B214" s="6">
        <v>1001</v>
      </c>
      <c r="C214" s="7">
        <v>44431</v>
      </c>
      <c r="D214" s="6" t="s">
        <v>6</v>
      </c>
      <c r="E214" s="7" t="s">
        <v>134</v>
      </c>
      <c r="F214" s="7" t="s">
        <v>135</v>
      </c>
      <c r="G214" s="7" t="s">
        <v>12</v>
      </c>
      <c r="H214" s="7">
        <v>65</v>
      </c>
      <c r="I214" s="7">
        <v>94</v>
      </c>
      <c r="J214" s="7">
        <v>6110</v>
      </c>
      <c r="K214" s="7">
        <v>2444</v>
      </c>
      <c r="L214" s="7">
        <v>0.4</v>
      </c>
      <c r="M214" s="8" t="s">
        <v>46</v>
      </c>
    </row>
    <row r="215" spans="1:13">
      <c r="A215" s="9" t="s">
        <v>22</v>
      </c>
      <c r="B215" s="10">
        <v>1004</v>
      </c>
      <c r="C215" s="11">
        <v>43945</v>
      </c>
      <c r="D215" s="10" t="s">
        <v>5</v>
      </c>
      <c r="E215" s="11" t="s">
        <v>47</v>
      </c>
      <c r="F215" s="11" t="s">
        <v>140</v>
      </c>
      <c r="G215" s="11" t="s">
        <v>13</v>
      </c>
      <c r="H215" s="11">
        <v>40</v>
      </c>
      <c r="I215" s="11">
        <v>650</v>
      </c>
      <c r="J215" s="11">
        <v>26000</v>
      </c>
      <c r="K215" s="11">
        <v>7800</v>
      </c>
      <c r="L215" s="11">
        <v>0.3</v>
      </c>
      <c r="M215" s="12" t="s">
        <v>74</v>
      </c>
    </row>
    <row r="216" spans="1:13">
      <c r="A216" s="5" t="s">
        <v>18</v>
      </c>
      <c r="B216" s="6">
        <v>1001</v>
      </c>
      <c r="C216" s="7">
        <v>44374</v>
      </c>
      <c r="D216" s="6" t="s">
        <v>2</v>
      </c>
      <c r="E216" s="7" t="s">
        <v>141</v>
      </c>
      <c r="F216" s="7" t="s">
        <v>142</v>
      </c>
      <c r="G216" s="7" t="s">
        <v>13</v>
      </c>
      <c r="H216" s="7">
        <v>48</v>
      </c>
      <c r="I216" s="7">
        <v>28</v>
      </c>
      <c r="J216" s="7">
        <v>1344</v>
      </c>
      <c r="K216" s="7">
        <v>712.32</v>
      </c>
      <c r="L216" s="7">
        <v>0.53</v>
      </c>
      <c r="M216" s="8" t="s">
        <v>46</v>
      </c>
    </row>
    <row r="217" spans="1:13">
      <c r="A217" s="9" t="s">
        <v>18</v>
      </c>
      <c r="B217" s="10">
        <v>1001</v>
      </c>
      <c r="C217" s="11">
        <v>44546</v>
      </c>
      <c r="D217" s="10" t="s">
        <v>3</v>
      </c>
      <c r="E217" s="11" t="s">
        <v>112</v>
      </c>
      <c r="F217" s="11" t="s">
        <v>113</v>
      </c>
      <c r="G217" s="11" t="s">
        <v>12</v>
      </c>
      <c r="H217" s="11">
        <v>70</v>
      </c>
      <c r="I217" s="11">
        <v>450</v>
      </c>
      <c r="J217" s="11">
        <v>31500</v>
      </c>
      <c r="K217" s="11">
        <v>12600</v>
      </c>
      <c r="L217" s="11">
        <v>0.4</v>
      </c>
      <c r="M217" s="12" t="s">
        <v>74</v>
      </c>
    </row>
    <row r="218" spans="1:13">
      <c r="A218" s="5" t="s">
        <v>22</v>
      </c>
      <c r="B218" s="6">
        <v>1004</v>
      </c>
      <c r="C218" s="7">
        <v>43904</v>
      </c>
      <c r="D218" s="6" t="s">
        <v>6</v>
      </c>
      <c r="E218" s="7" t="s">
        <v>87</v>
      </c>
      <c r="F218" s="7" t="s">
        <v>88</v>
      </c>
      <c r="G218" s="7" t="s">
        <v>12</v>
      </c>
      <c r="H218" s="7">
        <v>56</v>
      </c>
      <c r="I218" s="7">
        <v>170</v>
      </c>
      <c r="J218" s="7">
        <v>9520</v>
      </c>
      <c r="K218" s="7">
        <v>1713.6</v>
      </c>
      <c r="L218" s="7">
        <v>0.18</v>
      </c>
      <c r="M218" s="8" t="s">
        <v>43</v>
      </c>
    </row>
    <row r="219" spans="1:13">
      <c r="A219" s="9" t="s">
        <v>22</v>
      </c>
      <c r="B219" s="10">
        <v>1004</v>
      </c>
      <c r="C219" s="11">
        <v>44371</v>
      </c>
      <c r="D219" s="10" t="s">
        <v>6</v>
      </c>
      <c r="E219" s="11" t="s">
        <v>93</v>
      </c>
      <c r="F219" s="11" t="s">
        <v>94</v>
      </c>
      <c r="G219" s="11" t="s">
        <v>13</v>
      </c>
      <c r="H219" s="11">
        <v>74</v>
      </c>
      <c r="I219" s="11">
        <v>158</v>
      </c>
      <c r="J219" s="11">
        <v>11692</v>
      </c>
      <c r="K219" s="11">
        <v>5846</v>
      </c>
      <c r="L219" s="11">
        <v>0.5</v>
      </c>
      <c r="M219" s="12" t="s">
        <v>46</v>
      </c>
    </row>
    <row r="220" spans="1:13">
      <c r="A220" s="5" t="s">
        <v>20</v>
      </c>
      <c r="B220" s="6">
        <v>1003</v>
      </c>
      <c r="C220" s="7">
        <v>44507</v>
      </c>
      <c r="D220" s="6" t="s">
        <v>3</v>
      </c>
      <c r="E220" s="7" t="s">
        <v>75</v>
      </c>
      <c r="F220" s="7" t="s">
        <v>76</v>
      </c>
      <c r="G220" s="7" t="s">
        <v>9</v>
      </c>
      <c r="H220" s="7">
        <v>60</v>
      </c>
      <c r="I220" s="7">
        <v>175</v>
      </c>
      <c r="J220" s="7">
        <v>10500</v>
      </c>
      <c r="K220" s="7">
        <v>3150</v>
      </c>
      <c r="L220" s="7">
        <v>0.3</v>
      </c>
      <c r="M220" s="8" t="s">
        <v>74</v>
      </c>
    </row>
    <row r="221" spans="1:13">
      <c r="A221" s="9" t="s">
        <v>20</v>
      </c>
      <c r="B221" s="10">
        <v>1003</v>
      </c>
      <c r="C221" s="11">
        <v>44299</v>
      </c>
      <c r="D221" s="10" t="s">
        <v>5</v>
      </c>
      <c r="E221" s="11" t="s">
        <v>57</v>
      </c>
      <c r="F221" s="11" t="s">
        <v>58</v>
      </c>
      <c r="G221" s="11" t="s">
        <v>12</v>
      </c>
      <c r="H221" s="11">
        <v>70</v>
      </c>
      <c r="I221" s="11">
        <v>350</v>
      </c>
      <c r="J221" s="11">
        <v>24500</v>
      </c>
      <c r="K221" s="11">
        <v>6125</v>
      </c>
      <c r="L221" s="11">
        <v>0.25</v>
      </c>
      <c r="M221" s="12" t="s">
        <v>46</v>
      </c>
    </row>
    <row r="222" spans="1:13">
      <c r="A222" s="5" t="s">
        <v>18</v>
      </c>
      <c r="B222" s="6">
        <v>1001</v>
      </c>
      <c r="C222" s="7">
        <v>44278</v>
      </c>
      <c r="D222" s="6" t="s">
        <v>5</v>
      </c>
      <c r="E222" s="7" t="s">
        <v>59</v>
      </c>
      <c r="F222" s="7" t="s">
        <v>60</v>
      </c>
      <c r="G222" s="7" t="s">
        <v>11</v>
      </c>
      <c r="H222" s="7">
        <v>30</v>
      </c>
      <c r="I222" s="7">
        <v>162</v>
      </c>
      <c r="J222" s="7">
        <v>4860</v>
      </c>
      <c r="K222" s="7">
        <v>1846.8</v>
      </c>
      <c r="L222" s="7">
        <v>0.38</v>
      </c>
      <c r="M222" s="8" t="s">
        <v>43</v>
      </c>
    </row>
    <row r="223" spans="1:13">
      <c r="A223" s="9" t="s">
        <v>22</v>
      </c>
      <c r="B223" s="10">
        <v>1004</v>
      </c>
      <c r="C223" s="11">
        <v>44297</v>
      </c>
      <c r="D223" s="10" t="s">
        <v>6</v>
      </c>
      <c r="E223" s="11" t="s">
        <v>41</v>
      </c>
      <c r="F223" s="11" t="s">
        <v>42</v>
      </c>
      <c r="G223" s="11" t="s">
        <v>14</v>
      </c>
      <c r="H223" s="11">
        <v>14</v>
      </c>
      <c r="I223" s="11">
        <v>98</v>
      </c>
      <c r="J223" s="11">
        <v>1372</v>
      </c>
      <c r="K223" s="11">
        <v>631.12</v>
      </c>
      <c r="L223" s="11">
        <v>0.46</v>
      </c>
      <c r="M223" s="12" t="s">
        <v>46</v>
      </c>
    </row>
    <row r="224" spans="1:13">
      <c r="A224" s="5" t="s">
        <v>18</v>
      </c>
      <c r="B224" s="6">
        <v>1001</v>
      </c>
      <c r="C224" s="7">
        <v>44220</v>
      </c>
      <c r="D224" s="6" t="s">
        <v>3</v>
      </c>
      <c r="E224" s="7" t="s">
        <v>112</v>
      </c>
      <c r="F224" s="7" t="s">
        <v>113</v>
      </c>
      <c r="G224" s="7" t="s">
        <v>10</v>
      </c>
      <c r="H224" s="7">
        <v>35</v>
      </c>
      <c r="I224" s="7">
        <v>225</v>
      </c>
      <c r="J224" s="7">
        <v>7875</v>
      </c>
      <c r="K224" s="7">
        <v>2756.25</v>
      </c>
      <c r="L224" s="7">
        <v>0.35</v>
      </c>
      <c r="M224" s="8" t="s">
        <v>74</v>
      </c>
    </row>
    <row r="225" spans="1:13">
      <c r="A225" s="9" t="s">
        <v>20</v>
      </c>
      <c r="B225" s="10">
        <v>1003</v>
      </c>
      <c r="C225" s="11">
        <v>44541</v>
      </c>
      <c r="D225" s="10" t="s">
        <v>2</v>
      </c>
      <c r="E225" s="11" t="s">
        <v>51</v>
      </c>
      <c r="F225" s="11" t="s">
        <v>52</v>
      </c>
      <c r="G225" s="11" t="s">
        <v>12</v>
      </c>
      <c r="H225" s="11">
        <v>65</v>
      </c>
      <c r="I225" s="11">
        <v>300</v>
      </c>
      <c r="J225" s="11">
        <v>19500</v>
      </c>
      <c r="K225" s="11">
        <v>7800</v>
      </c>
      <c r="L225" s="11">
        <v>0.4</v>
      </c>
      <c r="M225" s="12" t="s">
        <v>46</v>
      </c>
    </row>
    <row r="226" spans="1:13">
      <c r="A226" s="5" t="s">
        <v>19</v>
      </c>
      <c r="B226" s="6">
        <v>1005</v>
      </c>
      <c r="C226" s="7">
        <v>44254</v>
      </c>
      <c r="D226" s="6" t="s">
        <v>2</v>
      </c>
      <c r="E226" s="7" t="s">
        <v>136</v>
      </c>
      <c r="F226" s="7" t="s">
        <v>137</v>
      </c>
      <c r="G226" s="7" t="s">
        <v>10</v>
      </c>
      <c r="H226" s="7">
        <v>42</v>
      </c>
      <c r="I226" s="7">
        <v>173</v>
      </c>
      <c r="J226" s="7">
        <v>7266</v>
      </c>
      <c r="K226" s="7">
        <v>2979.06</v>
      </c>
      <c r="L226" s="7">
        <v>0.41</v>
      </c>
      <c r="M226" s="8" t="s">
        <v>46</v>
      </c>
    </row>
    <row r="227" spans="1:13">
      <c r="A227" s="9" t="s">
        <v>21</v>
      </c>
      <c r="B227" s="10">
        <v>1002</v>
      </c>
      <c r="C227" s="11">
        <v>44458</v>
      </c>
      <c r="D227" s="10" t="s">
        <v>4</v>
      </c>
      <c r="E227" s="11" t="s">
        <v>79</v>
      </c>
      <c r="F227" s="11" t="s">
        <v>80</v>
      </c>
      <c r="G227" s="11" t="s">
        <v>9</v>
      </c>
      <c r="H227" s="11">
        <v>25</v>
      </c>
      <c r="I227" s="11">
        <v>325</v>
      </c>
      <c r="J227" s="11">
        <v>8125</v>
      </c>
      <c r="K227" s="11">
        <v>2843.75</v>
      </c>
      <c r="L227" s="11">
        <v>0.35</v>
      </c>
      <c r="M227" s="12" t="s">
        <v>46</v>
      </c>
    </row>
    <row r="228" spans="1:13">
      <c r="A228" s="5" t="s">
        <v>22</v>
      </c>
      <c r="B228" s="6">
        <v>1004</v>
      </c>
      <c r="C228" s="7">
        <v>44383</v>
      </c>
      <c r="D228" s="6" t="s">
        <v>6</v>
      </c>
      <c r="E228" s="7" t="s">
        <v>120</v>
      </c>
      <c r="F228" s="7" t="s">
        <v>121</v>
      </c>
      <c r="G228" s="7" t="s">
        <v>14</v>
      </c>
      <c r="H228" s="7">
        <v>50</v>
      </c>
      <c r="I228" s="7">
        <v>925</v>
      </c>
      <c r="J228" s="7">
        <v>46250</v>
      </c>
      <c r="K228" s="7">
        <v>18500</v>
      </c>
      <c r="L228" s="7">
        <v>0.4</v>
      </c>
      <c r="M228" s="8" t="s">
        <v>46</v>
      </c>
    </row>
    <row r="229" spans="1:13">
      <c r="A229" s="9" t="s">
        <v>18</v>
      </c>
      <c r="B229" s="10">
        <v>1001</v>
      </c>
      <c r="C229" s="11">
        <v>44551</v>
      </c>
      <c r="D229" s="10" t="s">
        <v>3</v>
      </c>
      <c r="E229" s="11" t="s">
        <v>81</v>
      </c>
      <c r="F229" s="11" t="s">
        <v>82</v>
      </c>
      <c r="G229" s="11" t="s">
        <v>11</v>
      </c>
      <c r="H229" s="11">
        <v>70</v>
      </c>
      <c r="I229" s="11">
        <v>375</v>
      </c>
      <c r="J229" s="11">
        <v>26250</v>
      </c>
      <c r="K229" s="11">
        <v>14437.5</v>
      </c>
      <c r="L229" s="11">
        <v>0.55000000000000004</v>
      </c>
      <c r="M229" s="12" t="s">
        <v>43</v>
      </c>
    </row>
    <row r="230" spans="1:13">
      <c r="A230" s="5" t="s">
        <v>22</v>
      </c>
      <c r="B230" s="6">
        <v>1004</v>
      </c>
      <c r="C230" s="7">
        <v>43956</v>
      </c>
      <c r="D230" s="6" t="s">
        <v>6</v>
      </c>
      <c r="E230" s="7" t="s">
        <v>114</v>
      </c>
      <c r="F230" s="7" t="s">
        <v>115</v>
      </c>
      <c r="G230" s="7" t="s">
        <v>13</v>
      </c>
      <c r="H230" s="7">
        <v>65</v>
      </c>
      <c r="I230" s="7">
        <v>400</v>
      </c>
      <c r="J230" s="7">
        <v>26000</v>
      </c>
      <c r="K230" s="7">
        <v>9100</v>
      </c>
      <c r="L230" s="7">
        <v>0.35</v>
      </c>
      <c r="M230" s="8" t="s">
        <v>74</v>
      </c>
    </row>
    <row r="231" spans="1:13">
      <c r="A231" s="9" t="s">
        <v>19</v>
      </c>
      <c r="B231" s="10">
        <v>1005</v>
      </c>
      <c r="C231" s="11">
        <v>44293</v>
      </c>
      <c r="D231" s="10" t="s">
        <v>3</v>
      </c>
      <c r="E231" s="11" t="s">
        <v>85</v>
      </c>
      <c r="F231" s="11" t="s">
        <v>86</v>
      </c>
      <c r="G231" s="11" t="s">
        <v>9</v>
      </c>
      <c r="H231" s="11">
        <v>45</v>
      </c>
      <c r="I231" s="11">
        <v>100</v>
      </c>
      <c r="J231" s="11">
        <v>4500</v>
      </c>
      <c r="K231" s="11">
        <v>1350</v>
      </c>
      <c r="L231" s="11">
        <v>0.3</v>
      </c>
      <c r="M231" s="12" t="s">
        <v>74</v>
      </c>
    </row>
    <row r="232" spans="1:13">
      <c r="A232" s="5" t="s">
        <v>18</v>
      </c>
      <c r="B232" s="6">
        <v>1001</v>
      </c>
      <c r="C232" s="7">
        <v>44329</v>
      </c>
      <c r="D232" s="6" t="s">
        <v>3</v>
      </c>
      <c r="E232" s="7" t="s">
        <v>129</v>
      </c>
      <c r="F232" s="7" t="s">
        <v>130</v>
      </c>
      <c r="G232" s="7" t="s">
        <v>9</v>
      </c>
      <c r="H232" s="7">
        <v>50</v>
      </c>
      <c r="I232" s="7">
        <v>74</v>
      </c>
      <c r="J232" s="7">
        <v>3700</v>
      </c>
      <c r="K232" s="7">
        <v>1554</v>
      </c>
      <c r="L232" s="7">
        <v>0.42</v>
      </c>
      <c r="M232" s="8" t="s">
        <v>46</v>
      </c>
    </row>
    <row r="233" spans="1:13">
      <c r="A233" s="9" t="s">
        <v>22</v>
      </c>
      <c r="B233" s="10">
        <v>1004</v>
      </c>
      <c r="C233" s="11">
        <v>44451</v>
      </c>
      <c r="D233" s="10" t="s">
        <v>6</v>
      </c>
      <c r="E233" s="11" t="s">
        <v>41</v>
      </c>
      <c r="F233" s="11" t="s">
        <v>42</v>
      </c>
      <c r="G233" s="11" t="s">
        <v>13</v>
      </c>
      <c r="H233" s="11">
        <v>10</v>
      </c>
      <c r="I233" s="11">
        <v>88</v>
      </c>
      <c r="J233" s="11">
        <v>880</v>
      </c>
      <c r="K233" s="11">
        <v>448.8</v>
      </c>
      <c r="L233" s="11">
        <v>0.51</v>
      </c>
      <c r="M233" s="12" t="s">
        <v>46</v>
      </c>
    </row>
    <row r="234" spans="1:13">
      <c r="A234" s="5" t="s">
        <v>20</v>
      </c>
      <c r="B234" s="6">
        <v>1003</v>
      </c>
      <c r="C234" s="7">
        <v>44532</v>
      </c>
      <c r="D234" s="6" t="s">
        <v>5</v>
      </c>
      <c r="E234" s="7" t="s">
        <v>89</v>
      </c>
      <c r="F234" s="7" t="s">
        <v>90</v>
      </c>
      <c r="G234" s="7" t="s">
        <v>11</v>
      </c>
      <c r="H234" s="7">
        <v>70</v>
      </c>
      <c r="I234" s="7">
        <v>975</v>
      </c>
      <c r="J234" s="7">
        <v>68250</v>
      </c>
      <c r="K234" s="7">
        <v>27300</v>
      </c>
      <c r="L234" s="7">
        <v>0.4</v>
      </c>
      <c r="M234" s="8" t="s">
        <v>46</v>
      </c>
    </row>
    <row r="235" spans="1:13">
      <c r="A235" s="9" t="s">
        <v>20</v>
      </c>
      <c r="B235" s="10">
        <v>1003</v>
      </c>
      <c r="C235" s="11">
        <v>44287</v>
      </c>
      <c r="D235" s="10" t="s">
        <v>4</v>
      </c>
      <c r="E235" s="11" t="s">
        <v>104</v>
      </c>
      <c r="F235" s="11" t="s">
        <v>105</v>
      </c>
      <c r="G235" s="11" t="s">
        <v>9</v>
      </c>
      <c r="H235" s="11">
        <v>28</v>
      </c>
      <c r="I235" s="11">
        <v>84</v>
      </c>
      <c r="J235" s="11">
        <v>2352</v>
      </c>
      <c r="K235" s="11">
        <v>1058.4000000000001</v>
      </c>
      <c r="L235" s="11">
        <v>0.45</v>
      </c>
      <c r="M235" s="12" t="s">
        <v>46</v>
      </c>
    </row>
    <row r="236" spans="1:13">
      <c r="A236" s="5" t="s">
        <v>17</v>
      </c>
      <c r="B236" s="6">
        <v>1006</v>
      </c>
      <c r="C236" s="7">
        <v>44449</v>
      </c>
      <c r="D236" s="6" t="s">
        <v>3</v>
      </c>
      <c r="E236" s="7" t="s">
        <v>49</v>
      </c>
      <c r="F236" s="7" t="s">
        <v>50</v>
      </c>
      <c r="G236" s="7" t="s">
        <v>10</v>
      </c>
      <c r="H236" s="7">
        <v>50</v>
      </c>
      <c r="I236" s="7">
        <v>85</v>
      </c>
      <c r="J236" s="7">
        <v>4250</v>
      </c>
      <c r="K236" s="7">
        <v>2550</v>
      </c>
      <c r="L236" s="7">
        <v>0.6</v>
      </c>
      <c r="M236" s="8" t="s">
        <v>46</v>
      </c>
    </row>
    <row r="237" spans="1:13">
      <c r="A237" s="9" t="s">
        <v>20</v>
      </c>
      <c r="B237" s="10">
        <v>1003</v>
      </c>
      <c r="C237" s="11">
        <v>44513</v>
      </c>
      <c r="D237" s="10" t="s">
        <v>5</v>
      </c>
      <c r="E237" s="11" t="s">
        <v>57</v>
      </c>
      <c r="F237" s="11" t="s">
        <v>58</v>
      </c>
      <c r="G237" s="11" t="s">
        <v>13</v>
      </c>
      <c r="H237" s="11">
        <v>55</v>
      </c>
      <c r="I237" s="11">
        <v>400</v>
      </c>
      <c r="J237" s="11">
        <v>22000</v>
      </c>
      <c r="K237" s="11">
        <v>8800</v>
      </c>
      <c r="L237" s="11">
        <v>0.4</v>
      </c>
      <c r="M237" s="12" t="s">
        <v>46</v>
      </c>
    </row>
    <row r="238" spans="1:13">
      <c r="A238" s="5" t="s">
        <v>22</v>
      </c>
      <c r="B238" s="6">
        <v>1004</v>
      </c>
      <c r="C238" s="7">
        <v>44368</v>
      </c>
      <c r="D238" s="6" t="s">
        <v>4</v>
      </c>
      <c r="E238" s="7" t="s">
        <v>70</v>
      </c>
      <c r="F238" s="7" t="s">
        <v>71</v>
      </c>
      <c r="G238" s="7" t="s">
        <v>10</v>
      </c>
      <c r="H238" s="7">
        <v>33</v>
      </c>
      <c r="I238" s="7">
        <v>88</v>
      </c>
      <c r="J238" s="7">
        <v>2904</v>
      </c>
      <c r="K238" s="7">
        <v>1306.8</v>
      </c>
      <c r="L238" s="7">
        <v>0.45</v>
      </c>
      <c r="M238" s="8" t="s">
        <v>46</v>
      </c>
    </row>
    <row r="239" spans="1:13">
      <c r="A239" s="9" t="s">
        <v>18</v>
      </c>
      <c r="B239" s="10">
        <v>1001</v>
      </c>
      <c r="C239" s="11">
        <v>44477</v>
      </c>
      <c r="D239" s="10" t="s">
        <v>3</v>
      </c>
      <c r="E239" s="11" t="s">
        <v>75</v>
      </c>
      <c r="F239" s="11" t="s">
        <v>76</v>
      </c>
      <c r="G239" s="11" t="s">
        <v>11</v>
      </c>
      <c r="H239" s="11">
        <v>53</v>
      </c>
      <c r="I239" s="11">
        <v>94</v>
      </c>
      <c r="J239" s="11">
        <v>4982</v>
      </c>
      <c r="K239" s="11">
        <v>2491</v>
      </c>
      <c r="L239" s="11">
        <v>0.5</v>
      </c>
      <c r="M239" s="12" t="s">
        <v>46</v>
      </c>
    </row>
    <row r="240" spans="1:13">
      <c r="A240" s="5" t="s">
        <v>18</v>
      </c>
      <c r="B240" s="6">
        <v>1001</v>
      </c>
      <c r="C240" s="7">
        <v>44541</v>
      </c>
      <c r="D240" s="6" t="s">
        <v>3</v>
      </c>
      <c r="E240" s="7" t="s">
        <v>81</v>
      </c>
      <c r="F240" s="7" t="s">
        <v>82</v>
      </c>
      <c r="G240" s="7" t="s">
        <v>14</v>
      </c>
      <c r="H240" s="7">
        <v>41</v>
      </c>
      <c r="I240" s="7">
        <v>50</v>
      </c>
      <c r="J240" s="7">
        <v>2050</v>
      </c>
      <c r="K240" s="7">
        <v>922.5</v>
      </c>
      <c r="L240" s="7">
        <v>0.45</v>
      </c>
      <c r="M240" s="8" t="s">
        <v>46</v>
      </c>
    </row>
    <row r="241" spans="1:13">
      <c r="A241" s="9" t="s">
        <v>19</v>
      </c>
      <c r="B241" s="10">
        <v>1005</v>
      </c>
      <c r="C241" s="11">
        <v>44520</v>
      </c>
      <c r="D241" s="10" t="s">
        <v>4</v>
      </c>
      <c r="E241" s="11" t="s">
        <v>70</v>
      </c>
      <c r="F241" s="11" t="s">
        <v>71</v>
      </c>
      <c r="G241" s="11" t="s">
        <v>13</v>
      </c>
      <c r="H241" s="11">
        <v>52</v>
      </c>
      <c r="I241" s="11">
        <v>75</v>
      </c>
      <c r="J241" s="11">
        <v>3900</v>
      </c>
      <c r="K241" s="11">
        <v>2067</v>
      </c>
      <c r="L241" s="11">
        <v>0.53</v>
      </c>
      <c r="M241" s="12" t="s">
        <v>46</v>
      </c>
    </row>
    <row r="242" spans="1:13">
      <c r="A242" s="5" t="s">
        <v>18</v>
      </c>
      <c r="B242" s="6">
        <v>1001</v>
      </c>
      <c r="C242" s="7">
        <v>44475</v>
      </c>
      <c r="D242" s="6" t="s">
        <v>2</v>
      </c>
      <c r="E242" s="7" t="s">
        <v>138</v>
      </c>
      <c r="F242" s="7" t="s">
        <v>139</v>
      </c>
      <c r="G242" s="7" t="s">
        <v>13</v>
      </c>
      <c r="H242" s="7">
        <v>35</v>
      </c>
      <c r="I242" s="7">
        <v>125</v>
      </c>
      <c r="J242" s="7">
        <v>4375</v>
      </c>
      <c r="K242" s="7">
        <v>1312.5</v>
      </c>
      <c r="L242" s="7">
        <v>0.3</v>
      </c>
      <c r="M242" s="8" t="s">
        <v>74</v>
      </c>
    </row>
    <row r="243" spans="1:13">
      <c r="A243" s="9" t="s">
        <v>22</v>
      </c>
      <c r="B243" s="10">
        <v>1004</v>
      </c>
      <c r="C243" s="11">
        <v>43904</v>
      </c>
      <c r="D243" s="10" t="s">
        <v>6</v>
      </c>
      <c r="E243" s="11" t="s">
        <v>87</v>
      </c>
      <c r="F243" s="11" t="s">
        <v>88</v>
      </c>
      <c r="G243" s="11" t="s">
        <v>12</v>
      </c>
      <c r="H243" s="11">
        <v>75</v>
      </c>
      <c r="I243" s="11">
        <v>500</v>
      </c>
      <c r="J243" s="11">
        <v>37500</v>
      </c>
      <c r="K243" s="11">
        <v>5625</v>
      </c>
      <c r="L243" s="11">
        <v>0.15</v>
      </c>
      <c r="M243" s="12" t="s">
        <v>74</v>
      </c>
    </row>
    <row r="244" spans="1:13">
      <c r="A244" s="5" t="s">
        <v>22</v>
      </c>
      <c r="B244" s="6">
        <v>1004</v>
      </c>
      <c r="C244" s="7">
        <v>44334</v>
      </c>
      <c r="D244" s="6" t="s">
        <v>4</v>
      </c>
      <c r="E244" s="7" t="s">
        <v>53</v>
      </c>
      <c r="F244" s="7" t="s">
        <v>54</v>
      </c>
      <c r="G244" s="7" t="s">
        <v>13</v>
      </c>
      <c r="H244" s="7">
        <v>33</v>
      </c>
      <c r="I244" s="7">
        <v>101</v>
      </c>
      <c r="J244" s="7">
        <v>3333</v>
      </c>
      <c r="K244" s="7">
        <v>1433.19</v>
      </c>
      <c r="L244" s="7">
        <v>0.42999999999999988</v>
      </c>
      <c r="M244" s="8" t="s">
        <v>43</v>
      </c>
    </row>
    <row r="245" spans="1:13">
      <c r="A245" s="9" t="s">
        <v>22</v>
      </c>
      <c r="B245" s="10">
        <v>1004</v>
      </c>
      <c r="C245" s="11">
        <v>44242</v>
      </c>
      <c r="D245" s="10" t="s">
        <v>6</v>
      </c>
      <c r="E245" s="11" t="s">
        <v>125</v>
      </c>
      <c r="F245" s="11" t="s">
        <v>126</v>
      </c>
      <c r="G245" s="11" t="s">
        <v>9</v>
      </c>
      <c r="H245" s="11">
        <v>59</v>
      </c>
      <c r="I245" s="11">
        <v>175</v>
      </c>
      <c r="J245" s="11">
        <v>10325</v>
      </c>
      <c r="K245" s="11">
        <v>6195</v>
      </c>
      <c r="L245" s="11">
        <v>0.60000000000000009</v>
      </c>
      <c r="M245" s="12" t="s">
        <v>46</v>
      </c>
    </row>
    <row r="246" spans="1:13">
      <c r="A246" s="5" t="s">
        <v>17</v>
      </c>
      <c r="B246" s="6">
        <v>1006</v>
      </c>
      <c r="C246" s="7">
        <v>44540</v>
      </c>
      <c r="D246" s="6" t="s">
        <v>3</v>
      </c>
      <c r="E246" s="7" t="s">
        <v>49</v>
      </c>
      <c r="F246" s="7" t="s">
        <v>50</v>
      </c>
      <c r="G246" s="7" t="s">
        <v>13</v>
      </c>
      <c r="H246" s="7">
        <v>56</v>
      </c>
      <c r="I246" s="7">
        <v>81</v>
      </c>
      <c r="J246" s="7">
        <v>4536</v>
      </c>
      <c r="K246" s="7">
        <v>2041.2</v>
      </c>
      <c r="L246" s="7">
        <v>0.45</v>
      </c>
      <c r="M246" s="8" t="s">
        <v>46</v>
      </c>
    </row>
    <row r="247" spans="1:13">
      <c r="A247" s="9" t="s">
        <v>17</v>
      </c>
      <c r="B247" s="10">
        <v>1006</v>
      </c>
      <c r="C247" s="11">
        <v>44304</v>
      </c>
      <c r="D247" s="10" t="s">
        <v>3</v>
      </c>
      <c r="E247" s="11" t="s">
        <v>98</v>
      </c>
      <c r="F247" s="11" t="s">
        <v>99</v>
      </c>
      <c r="G247" s="11" t="s">
        <v>12</v>
      </c>
      <c r="H247" s="11">
        <v>33</v>
      </c>
      <c r="I247" s="11">
        <v>101</v>
      </c>
      <c r="J247" s="11">
        <v>3333</v>
      </c>
      <c r="K247" s="11">
        <v>1233.21</v>
      </c>
      <c r="L247" s="11">
        <v>0.37</v>
      </c>
      <c r="M247" s="12" t="s">
        <v>43</v>
      </c>
    </row>
    <row r="248" spans="1:13">
      <c r="A248" s="5" t="s">
        <v>22</v>
      </c>
      <c r="B248" s="6">
        <v>1004</v>
      </c>
      <c r="C248" s="7">
        <v>44207</v>
      </c>
      <c r="D248" s="6" t="s">
        <v>2</v>
      </c>
      <c r="E248" s="7" t="s">
        <v>91</v>
      </c>
      <c r="F248" s="7" t="s">
        <v>92</v>
      </c>
      <c r="G248" s="7" t="s">
        <v>14</v>
      </c>
      <c r="H248" s="7">
        <v>14</v>
      </c>
      <c r="I248" s="7">
        <v>143</v>
      </c>
      <c r="J248" s="7">
        <v>2002</v>
      </c>
      <c r="K248" s="7">
        <v>940.94</v>
      </c>
      <c r="L248" s="7">
        <v>0.47</v>
      </c>
      <c r="M248" s="8" t="s">
        <v>46</v>
      </c>
    </row>
    <row r="249" spans="1:13">
      <c r="A249" s="9" t="s">
        <v>18</v>
      </c>
      <c r="B249" s="10">
        <v>1001</v>
      </c>
      <c r="C249" s="11">
        <v>44458</v>
      </c>
      <c r="D249" s="10" t="s">
        <v>2</v>
      </c>
      <c r="E249" s="11" t="s">
        <v>91</v>
      </c>
      <c r="F249" s="11" t="s">
        <v>92</v>
      </c>
      <c r="G249" s="11" t="s">
        <v>14</v>
      </c>
      <c r="H249" s="11">
        <v>14</v>
      </c>
      <c r="I249" s="11">
        <v>75</v>
      </c>
      <c r="J249" s="11">
        <v>1050</v>
      </c>
      <c r="K249" s="11">
        <v>514.5</v>
      </c>
      <c r="L249" s="11">
        <v>0.49</v>
      </c>
      <c r="M249" s="12" t="s">
        <v>46</v>
      </c>
    </row>
    <row r="250" spans="1:13">
      <c r="A250" s="5" t="s">
        <v>21</v>
      </c>
      <c r="B250" s="6">
        <v>1002</v>
      </c>
      <c r="C250" s="7">
        <v>44487</v>
      </c>
      <c r="D250" s="6" t="s">
        <v>4</v>
      </c>
      <c r="E250" s="7" t="s">
        <v>116</v>
      </c>
      <c r="F250" s="7" t="s">
        <v>117</v>
      </c>
      <c r="G250" s="7" t="s">
        <v>9</v>
      </c>
      <c r="H250" s="7">
        <v>25</v>
      </c>
      <c r="I250" s="7">
        <v>105</v>
      </c>
      <c r="J250" s="7">
        <v>2625</v>
      </c>
      <c r="K250" s="7">
        <v>1102.5</v>
      </c>
      <c r="L250" s="7">
        <v>0.42</v>
      </c>
      <c r="M250" s="8" t="s">
        <v>43</v>
      </c>
    </row>
    <row r="251" spans="1:13">
      <c r="A251" s="9" t="s">
        <v>22</v>
      </c>
      <c r="B251" s="10">
        <v>1004</v>
      </c>
      <c r="C251" s="11">
        <v>43895</v>
      </c>
      <c r="D251" s="10" t="s">
        <v>6</v>
      </c>
      <c r="E251" s="11" t="s">
        <v>87</v>
      </c>
      <c r="F251" s="11" t="s">
        <v>88</v>
      </c>
      <c r="G251" s="11" t="s">
        <v>14</v>
      </c>
      <c r="H251" s="11">
        <v>60</v>
      </c>
      <c r="I251" s="11">
        <v>425</v>
      </c>
      <c r="J251" s="11">
        <v>25500</v>
      </c>
      <c r="K251" s="11">
        <v>8925</v>
      </c>
      <c r="L251" s="11">
        <v>0.35</v>
      </c>
      <c r="M251" s="12" t="s">
        <v>74</v>
      </c>
    </row>
    <row r="252" spans="1:13">
      <c r="A252" s="5" t="s">
        <v>18</v>
      </c>
      <c r="B252" s="6">
        <v>1001</v>
      </c>
      <c r="C252" s="7">
        <v>44426</v>
      </c>
      <c r="D252" s="6" t="s">
        <v>2</v>
      </c>
      <c r="E252" s="7" t="s">
        <v>91</v>
      </c>
      <c r="F252" s="7" t="s">
        <v>92</v>
      </c>
      <c r="G252" s="7" t="s">
        <v>13</v>
      </c>
      <c r="H252" s="7">
        <v>25</v>
      </c>
      <c r="I252" s="7">
        <v>325</v>
      </c>
      <c r="J252" s="7">
        <v>8125</v>
      </c>
      <c r="K252" s="7">
        <v>3250</v>
      </c>
      <c r="L252" s="7">
        <v>0.4</v>
      </c>
      <c r="M252" s="8" t="s">
        <v>74</v>
      </c>
    </row>
    <row r="253" spans="1:13">
      <c r="A253" s="9" t="s">
        <v>18</v>
      </c>
      <c r="B253" s="10">
        <v>1001</v>
      </c>
      <c r="C253" s="11">
        <v>44432</v>
      </c>
      <c r="D253" s="10" t="s">
        <v>5</v>
      </c>
      <c r="E253" s="11" t="s">
        <v>59</v>
      </c>
      <c r="F253" s="11" t="s">
        <v>60</v>
      </c>
      <c r="G253" s="11" t="s">
        <v>9</v>
      </c>
      <c r="H253" s="11">
        <v>64</v>
      </c>
      <c r="I253" s="11">
        <v>106</v>
      </c>
      <c r="J253" s="11">
        <v>6784</v>
      </c>
      <c r="K253" s="11">
        <v>3459.84</v>
      </c>
      <c r="L253" s="11">
        <v>0.51</v>
      </c>
      <c r="M253" s="12" t="s">
        <v>46</v>
      </c>
    </row>
    <row r="254" spans="1:13">
      <c r="A254" s="5" t="s">
        <v>18</v>
      </c>
      <c r="B254" s="6">
        <v>1001</v>
      </c>
      <c r="C254" s="7">
        <v>44394</v>
      </c>
      <c r="D254" s="6" t="s">
        <v>2</v>
      </c>
      <c r="E254" s="7" t="s">
        <v>141</v>
      </c>
      <c r="F254" s="7" t="s">
        <v>142</v>
      </c>
      <c r="G254" s="7" t="s">
        <v>12</v>
      </c>
      <c r="H254" s="7">
        <v>50</v>
      </c>
      <c r="I254" s="7">
        <v>94</v>
      </c>
      <c r="J254" s="7">
        <v>4700</v>
      </c>
      <c r="K254" s="7">
        <v>3055</v>
      </c>
      <c r="L254" s="7">
        <v>0.65</v>
      </c>
      <c r="M254" s="8" t="s">
        <v>46</v>
      </c>
    </row>
    <row r="255" spans="1:13">
      <c r="A255" s="9" t="s">
        <v>17</v>
      </c>
      <c r="B255" s="10">
        <v>1006</v>
      </c>
      <c r="C255" s="11">
        <v>44480</v>
      </c>
      <c r="D255" s="10" t="s">
        <v>2</v>
      </c>
      <c r="E255" s="11" t="s">
        <v>123</v>
      </c>
      <c r="F255" s="11" t="s">
        <v>124</v>
      </c>
      <c r="G255" s="11" t="s">
        <v>14</v>
      </c>
      <c r="H255" s="11">
        <v>27</v>
      </c>
      <c r="I255" s="11">
        <v>106</v>
      </c>
      <c r="J255" s="11">
        <v>2862</v>
      </c>
      <c r="K255" s="11">
        <v>1516.86</v>
      </c>
      <c r="L255" s="11">
        <v>0.53</v>
      </c>
      <c r="M255" s="12" t="s">
        <v>46</v>
      </c>
    </row>
    <row r="256" spans="1:13">
      <c r="A256" s="5" t="s">
        <v>20</v>
      </c>
      <c r="B256" s="6">
        <v>1003</v>
      </c>
      <c r="C256" s="7">
        <v>44443</v>
      </c>
      <c r="D256" s="6" t="s">
        <v>4</v>
      </c>
      <c r="E256" s="7" t="s">
        <v>64</v>
      </c>
      <c r="F256" s="7" t="s">
        <v>65</v>
      </c>
      <c r="G256" s="7" t="s">
        <v>11</v>
      </c>
      <c r="H256" s="7">
        <v>19</v>
      </c>
      <c r="I256" s="7">
        <v>195</v>
      </c>
      <c r="J256" s="7">
        <v>3705</v>
      </c>
      <c r="K256" s="7">
        <v>1852.5</v>
      </c>
      <c r="L256" s="7">
        <v>0.5</v>
      </c>
      <c r="M256" s="8" t="s">
        <v>46</v>
      </c>
    </row>
    <row r="257" spans="1:13">
      <c r="A257" s="9" t="s">
        <v>21</v>
      </c>
      <c r="B257" s="10">
        <v>1002</v>
      </c>
      <c r="C257" s="11">
        <v>44274</v>
      </c>
      <c r="D257" s="10" t="s">
        <v>4</v>
      </c>
      <c r="E257" s="11" t="s">
        <v>79</v>
      </c>
      <c r="F257" s="11" t="s">
        <v>80</v>
      </c>
      <c r="G257" s="11" t="s">
        <v>13</v>
      </c>
      <c r="H257" s="11">
        <v>19</v>
      </c>
      <c r="I257" s="11">
        <v>60</v>
      </c>
      <c r="J257" s="11">
        <v>1140</v>
      </c>
      <c r="K257" s="11">
        <v>592.79999999999995</v>
      </c>
      <c r="L257" s="11">
        <v>0.52</v>
      </c>
      <c r="M257" s="12" t="s">
        <v>46</v>
      </c>
    </row>
    <row r="258" spans="1:13">
      <c r="A258" s="5" t="s">
        <v>18</v>
      </c>
      <c r="B258" s="6">
        <v>1001</v>
      </c>
      <c r="C258" s="7">
        <v>44354</v>
      </c>
      <c r="D258" s="6" t="s">
        <v>5</v>
      </c>
      <c r="E258" s="7" t="s">
        <v>122</v>
      </c>
      <c r="F258" s="7" t="s">
        <v>113</v>
      </c>
      <c r="G258" s="7" t="s">
        <v>12</v>
      </c>
      <c r="H258" s="7">
        <v>65</v>
      </c>
      <c r="I258" s="7">
        <v>250</v>
      </c>
      <c r="J258" s="7">
        <v>16250</v>
      </c>
      <c r="K258" s="7">
        <v>10400</v>
      </c>
      <c r="L258" s="7">
        <v>0.64</v>
      </c>
      <c r="M258" s="8" t="s">
        <v>46</v>
      </c>
    </row>
    <row r="259" spans="1:13">
      <c r="A259" s="9" t="s">
        <v>18</v>
      </c>
      <c r="B259" s="10">
        <v>1001</v>
      </c>
      <c r="C259" s="11">
        <v>44415</v>
      </c>
      <c r="D259" s="10" t="s">
        <v>3</v>
      </c>
      <c r="E259" s="11" t="s">
        <v>75</v>
      </c>
      <c r="F259" s="11" t="s">
        <v>76</v>
      </c>
      <c r="G259" s="11" t="s">
        <v>13</v>
      </c>
      <c r="H259" s="11">
        <v>40</v>
      </c>
      <c r="I259" s="11">
        <v>150</v>
      </c>
      <c r="J259" s="11">
        <v>6000</v>
      </c>
      <c r="K259" s="11">
        <v>2400</v>
      </c>
      <c r="L259" s="11">
        <v>0.4</v>
      </c>
      <c r="M259" s="12" t="s">
        <v>74</v>
      </c>
    </row>
    <row r="260" spans="1:13">
      <c r="A260" s="5" t="s">
        <v>18</v>
      </c>
      <c r="B260" s="6">
        <v>1001</v>
      </c>
      <c r="C260" s="7">
        <v>44550</v>
      </c>
      <c r="D260" s="6" t="s">
        <v>3</v>
      </c>
      <c r="E260" s="7" t="s">
        <v>110</v>
      </c>
      <c r="F260" s="7" t="s">
        <v>111</v>
      </c>
      <c r="G260" s="7" t="s">
        <v>9</v>
      </c>
      <c r="H260" s="7">
        <v>54</v>
      </c>
      <c r="I260" s="7">
        <v>51</v>
      </c>
      <c r="J260" s="7">
        <v>2754</v>
      </c>
      <c r="K260" s="7">
        <v>1129.1400000000001</v>
      </c>
      <c r="L260" s="7">
        <v>0.41</v>
      </c>
      <c r="M260" s="8" t="s">
        <v>46</v>
      </c>
    </row>
    <row r="261" spans="1:13">
      <c r="A261" s="9" t="s">
        <v>20</v>
      </c>
      <c r="B261" s="10">
        <v>1003</v>
      </c>
      <c r="C261" s="11">
        <v>44209</v>
      </c>
      <c r="D261" s="10" t="s">
        <v>6</v>
      </c>
      <c r="E261" s="11" t="s">
        <v>83</v>
      </c>
      <c r="F261" s="11" t="s">
        <v>84</v>
      </c>
      <c r="G261" s="11" t="s">
        <v>14</v>
      </c>
      <c r="H261" s="11">
        <v>40</v>
      </c>
      <c r="I261" s="11">
        <v>450</v>
      </c>
      <c r="J261" s="11">
        <v>18000</v>
      </c>
      <c r="K261" s="11">
        <v>6300</v>
      </c>
      <c r="L261" s="11">
        <v>0.35</v>
      </c>
      <c r="M261" s="12" t="s">
        <v>46</v>
      </c>
    </row>
    <row r="262" spans="1:13">
      <c r="A262" s="5" t="s">
        <v>18</v>
      </c>
      <c r="B262" s="6">
        <v>1001</v>
      </c>
      <c r="C262" s="7">
        <v>44231</v>
      </c>
      <c r="D262" s="6" t="s">
        <v>4</v>
      </c>
      <c r="E262" s="7" t="s">
        <v>53</v>
      </c>
      <c r="F262" s="7" t="s">
        <v>54</v>
      </c>
      <c r="G262" s="7" t="s">
        <v>11</v>
      </c>
      <c r="H262" s="7">
        <v>18</v>
      </c>
      <c r="I262" s="7">
        <v>200</v>
      </c>
      <c r="J262" s="7">
        <v>3600</v>
      </c>
      <c r="K262" s="7">
        <v>1152</v>
      </c>
      <c r="L262" s="7">
        <v>0.32</v>
      </c>
      <c r="M262" s="8" t="s">
        <v>43</v>
      </c>
    </row>
    <row r="263" spans="1:13">
      <c r="A263" s="9" t="s">
        <v>22</v>
      </c>
      <c r="B263" s="10">
        <v>1004</v>
      </c>
      <c r="C263" s="11">
        <v>44207</v>
      </c>
      <c r="D263" s="10" t="s">
        <v>6</v>
      </c>
      <c r="E263" s="11" t="s">
        <v>125</v>
      </c>
      <c r="F263" s="11" t="s">
        <v>126</v>
      </c>
      <c r="G263" s="11" t="s">
        <v>12</v>
      </c>
      <c r="H263" s="11">
        <v>60</v>
      </c>
      <c r="I263" s="11">
        <v>306</v>
      </c>
      <c r="J263" s="11">
        <v>18360</v>
      </c>
      <c r="K263" s="11">
        <v>4773.6000000000004</v>
      </c>
      <c r="L263" s="11">
        <v>0.26</v>
      </c>
      <c r="M263" s="12" t="s">
        <v>43</v>
      </c>
    </row>
    <row r="264" spans="1:13">
      <c r="A264" s="5" t="s">
        <v>22</v>
      </c>
      <c r="B264" s="6">
        <v>1004</v>
      </c>
      <c r="C264" s="7">
        <v>44451</v>
      </c>
      <c r="D264" s="6" t="s">
        <v>6</v>
      </c>
      <c r="E264" s="7" t="s">
        <v>41</v>
      </c>
      <c r="F264" s="7" t="s">
        <v>42</v>
      </c>
      <c r="G264" s="7" t="s">
        <v>9</v>
      </c>
      <c r="H264" s="7">
        <v>20</v>
      </c>
      <c r="I264" s="7">
        <v>325</v>
      </c>
      <c r="J264" s="7">
        <v>6500</v>
      </c>
      <c r="K264" s="7">
        <v>2275</v>
      </c>
      <c r="L264" s="7">
        <v>0.35</v>
      </c>
      <c r="M264" s="8" t="s">
        <v>74</v>
      </c>
    </row>
    <row r="265" spans="1:13">
      <c r="A265" s="9" t="s">
        <v>17</v>
      </c>
      <c r="B265" s="10">
        <v>1006</v>
      </c>
      <c r="C265" s="11">
        <v>44555</v>
      </c>
      <c r="D265" s="10" t="s">
        <v>3</v>
      </c>
      <c r="E265" s="11" t="s">
        <v>95</v>
      </c>
      <c r="F265" s="11" t="s">
        <v>94</v>
      </c>
      <c r="G265" s="11" t="s">
        <v>9</v>
      </c>
      <c r="H265" s="11">
        <v>55</v>
      </c>
      <c r="I265" s="11">
        <v>150</v>
      </c>
      <c r="J265" s="11">
        <v>8250</v>
      </c>
      <c r="K265" s="11">
        <v>2062.5</v>
      </c>
      <c r="L265" s="11">
        <v>0.25</v>
      </c>
      <c r="M265" s="12" t="s">
        <v>43</v>
      </c>
    </row>
    <row r="266" spans="1:13">
      <c r="A266" s="5" t="s">
        <v>18</v>
      </c>
      <c r="B266" s="6">
        <v>1001</v>
      </c>
      <c r="C266" s="7">
        <v>44332</v>
      </c>
      <c r="D266" s="6" t="s">
        <v>4</v>
      </c>
      <c r="E266" s="7" t="s">
        <v>116</v>
      </c>
      <c r="F266" s="7" t="s">
        <v>117</v>
      </c>
      <c r="G266" s="7" t="s">
        <v>9</v>
      </c>
      <c r="H266" s="7">
        <v>45</v>
      </c>
      <c r="I266" s="7">
        <v>400</v>
      </c>
      <c r="J266" s="7">
        <v>18000</v>
      </c>
      <c r="K266" s="7">
        <v>6300</v>
      </c>
      <c r="L266" s="7">
        <v>0.35</v>
      </c>
      <c r="M266" s="8" t="s">
        <v>46</v>
      </c>
    </row>
    <row r="267" spans="1:13">
      <c r="A267" s="9" t="s">
        <v>19</v>
      </c>
      <c r="B267" s="10">
        <v>1005</v>
      </c>
      <c r="C267" s="11">
        <v>44343</v>
      </c>
      <c r="D267" s="10" t="s">
        <v>6</v>
      </c>
      <c r="E267" s="11" t="s">
        <v>83</v>
      </c>
      <c r="F267" s="11" t="s">
        <v>84</v>
      </c>
      <c r="G267" s="11" t="s">
        <v>14</v>
      </c>
      <c r="H267" s="11">
        <v>56</v>
      </c>
      <c r="I267" s="11">
        <v>126</v>
      </c>
      <c r="J267" s="11">
        <v>7056</v>
      </c>
      <c r="K267" s="11">
        <v>3316.32</v>
      </c>
      <c r="L267" s="11">
        <v>0.47</v>
      </c>
      <c r="M267" s="12" t="s">
        <v>46</v>
      </c>
    </row>
    <row r="268" spans="1:13">
      <c r="A268" s="5" t="s">
        <v>18</v>
      </c>
      <c r="B268" s="6">
        <v>1001</v>
      </c>
      <c r="C268" s="7">
        <v>44390</v>
      </c>
      <c r="D268" s="6" t="s">
        <v>3</v>
      </c>
      <c r="E268" s="7" t="s">
        <v>129</v>
      </c>
      <c r="F268" s="7" t="s">
        <v>130</v>
      </c>
      <c r="G268" s="7" t="s">
        <v>14</v>
      </c>
      <c r="H268" s="7">
        <v>41</v>
      </c>
      <c r="I268" s="7">
        <v>102</v>
      </c>
      <c r="J268" s="7">
        <v>4182</v>
      </c>
      <c r="K268" s="7">
        <v>2258.2800000000002</v>
      </c>
      <c r="L268" s="7">
        <v>0.54</v>
      </c>
      <c r="M268" s="8" t="s">
        <v>46</v>
      </c>
    </row>
    <row r="269" spans="1:13">
      <c r="A269" s="9" t="s">
        <v>21</v>
      </c>
      <c r="B269" s="10">
        <v>1002</v>
      </c>
      <c r="C269" s="11">
        <v>44303</v>
      </c>
      <c r="D269" s="10" t="s">
        <v>5</v>
      </c>
      <c r="E269" s="11" t="s">
        <v>47</v>
      </c>
      <c r="F269" s="11" t="s">
        <v>48</v>
      </c>
      <c r="G269" s="11" t="s">
        <v>11</v>
      </c>
      <c r="H269" s="11">
        <v>47</v>
      </c>
      <c r="I269" s="11">
        <v>171</v>
      </c>
      <c r="J269" s="11">
        <v>8037</v>
      </c>
      <c r="K269" s="11">
        <v>2893.32</v>
      </c>
      <c r="L269" s="11">
        <v>0.36</v>
      </c>
      <c r="M269" s="12" t="s">
        <v>43</v>
      </c>
    </row>
    <row r="270" spans="1:13">
      <c r="A270" s="5" t="s">
        <v>17</v>
      </c>
      <c r="B270" s="6">
        <v>1006</v>
      </c>
      <c r="C270" s="7">
        <v>44426</v>
      </c>
      <c r="D270" s="6" t="s">
        <v>3</v>
      </c>
      <c r="E270" s="7" t="s">
        <v>98</v>
      </c>
      <c r="F270" s="7" t="s">
        <v>99</v>
      </c>
      <c r="G270" s="7" t="s">
        <v>12</v>
      </c>
      <c r="H270" s="7">
        <v>64</v>
      </c>
      <c r="I270" s="7">
        <v>106</v>
      </c>
      <c r="J270" s="7">
        <v>6784</v>
      </c>
      <c r="K270" s="7">
        <v>3188.48</v>
      </c>
      <c r="L270" s="7">
        <v>0.47</v>
      </c>
      <c r="M270" s="8" t="s">
        <v>46</v>
      </c>
    </row>
    <row r="271" spans="1:13">
      <c r="A271" s="9" t="s">
        <v>19</v>
      </c>
      <c r="B271" s="10">
        <v>1005</v>
      </c>
      <c r="C271" s="11">
        <v>44194</v>
      </c>
      <c r="D271" s="10" t="s">
        <v>2</v>
      </c>
      <c r="E271" s="11" t="s">
        <v>96</v>
      </c>
      <c r="F271" s="11" t="s">
        <v>97</v>
      </c>
      <c r="G271" s="11" t="s">
        <v>10</v>
      </c>
      <c r="H271" s="11">
        <v>43</v>
      </c>
      <c r="I271" s="11">
        <v>128</v>
      </c>
      <c r="J271" s="11">
        <v>5504</v>
      </c>
      <c r="K271" s="11">
        <v>2311.6799999999998</v>
      </c>
      <c r="L271" s="11">
        <v>0.42</v>
      </c>
      <c r="M271" s="12" t="s">
        <v>46</v>
      </c>
    </row>
    <row r="272" spans="1:13">
      <c r="A272" s="5" t="s">
        <v>21</v>
      </c>
      <c r="B272" s="6">
        <v>1002</v>
      </c>
      <c r="C272" s="7">
        <v>44066</v>
      </c>
      <c r="D272" s="6" t="s">
        <v>4</v>
      </c>
      <c r="E272" s="7" t="s">
        <v>64</v>
      </c>
      <c r="F272" s="7" t="s">
        <v>78</v>
      </c>
      <c r="G272" s="7" t="s">
        <v>12</v>
      </c>
      <c r="H272" s="7">
        <v>38</v>
      </c>
      <c r="I272" s="7">
        <v>350</v>
      </c>
      <c r="J272" s="7">
        <v>13300</v>
      </c>
      <c r="K272" s="7">
        <v>7581</v>
      </c>
      <c r="L272" s="7">
        <v>0.57000000000000006</v>
      </c>
      <c r="M272" s="8" t="s">
        <v>43</v>
      </c>
    </row>
    <row r="273" spans="1:13">
      <c r="A273" s="9" t="s">
        <v>18</v>
      </c>
      <c r="B273" s="10">
        <v>1001</v>
      </c>
      <c r="C273" s="11">
        <v>44293</v>
      </c>
      <c r="D273" s="10" t="s">
        <v>3</v>
      </c>
      <c r="E273" s="11" t="s">
        <v>75</v>
      </c>
      <c r="F273" s="11" t="s">
        <v>76</v>
      </c>
      <c r="G273" s="11" t="s">
        <v>9</v>
      </c>
      <c r="H273" s="11">
        <v>45</v>
      </c>
      <c r="I273" s="11">
        <v>50</v>
      </c>
      <c r="J273" s="11">
        <v>2250</v>
      </c>
      <c r="K273" s="11">
        <v>675</v>
      </c>
      <c r="L273" s="11">
        <v>0.3</v>
      </c>
      <c r="M273" s="12" t="s">
        <v>74</v>
      </c>
    </row>
    <row r="274" spans="1:13">
      <c r="A274" s="5" t="s">
        <v>18</v>
      </c>
      <c r="B274" s="6">
        <v>1001</v>
      </c>
      <c r="C274" s="7">
        <v>44548</v>
      </c>
      <c r="D274" s="6" t="s">
        <v>3</v>
      </c>
      <c r="E274" s="7" t="s">
        <v>81</v>
      </c>
      <c r="F274" s="7" t="s">
        <v>82</v>
      </c>
      <c r="G274" s="7" t="s">
        <v>13</v>
      </c>
      <c r="H274" s="7">
        <v>48</v>
      </c>
      <c r="I274" s="7">
        <v>29</v>
      </c>
      <c r="J274" s="7">
        <v>1392</v>
      </c>
      <c r="K274" s="7">
        <v>626.4</v>
      </c>
      <c r="L274" s="7">
        <v>0.45</v>
      </c>
      <c r="M274" s="8" t="s">
        <v>46</v>
      </c>
    </row>
    <row r="275" spans="1:13">
      <c r="A275" s="9" t="s">
        <v>19</v>
      </c>
      <c r="B275" s="10">
        <v>1005</v>
      </c>
      <c r="C275" s="11">
        <v>44205</v>
      </c>
      <c r="D275" s="10" t="s">
        <v>2</v>
      </c>
      <c r="E275" s="11" t="s">
        <v>136</v>
      </c>
      <c r="F275" s="11" t="s">
        <v>137</v>
      </c>
      <c r="G275" s="11" t="s">
        <v>11</v>
      </c>
      <c r="H275" s="11">
        <v>32</v>
      </c>
      <c r="I275" s="11">
        <v>173</v>
      </c>
      <c r="J275" s="11">
        <v>5536</v>
      </c>
      <c r="K275" s="11">
        <v>3044.8</v>
      </c>
      <c r="L275" s="11">
        <v>0.55000000000000004</v>
      </c>
      <c r="M275" s="12" t="s">
        <v>46</v>
      </c>
    </row>
    <row r="276" spans="1:13">
      <c r="A276" s="5" t="s">
        <v>21</v>
      </c>
      <c r="B276" s="6">
        <v>1002</v>
      </c>
      <c r="C276" s="7">
        <v>44396</v>
      </c>
      <c r="D276" s="6" t="s">
        <v>4</v>
      </c>
      <c r="E276" s="7" t="s">
        <v>79</v>
      </c>
      <c r="F276" s="7" t="s">
        <v>80</v>
      </c>
      <c r="G276" s="7" t="s">
        <v>13</v>
      </c>
      <c r="H276" s="7">
        <v>35</v>
      </c>
      <c r="I276" s="7">
        <v>120</v>
      </c>
      <c r="J276" s="7">
        <v>4200</v>
      </c>
      <c r="K276" s="7">
        <v>1806</v>
      </c>
      <c r="L276" s="7">
        <v>0.43</v>
      </c>
      <c r="M276" s="8" t="s">
        <v>43</v>
      </c>
    </row>
    <row r="277" spans="1:13">
      <c r="A277" s="9" t="s">
        <v>20</v>
      </c>
      <c r="B277" s="10">
        <v>1003</v>
      </c>
      <c r="C277" s="11">
        <v>44319</v>
      </c>
      <c r="D277" s="10" t="s">
        <v>3</v>
      </c>
      <c r="E277" s="11" t="s">
        <v>131</v>
      </c>
      <c r="F277" s="11" t="s">
        <v>132</v>
      </c>
      <c r="G277" s="11" t="s">
        <v>12</v>
      </c>
      <c r="H277" s="11">
        <v>55</v>
      </c>
      <c r="I277" s="11">
        <v>113</v>
      </c>
      <c r="J277" s="11">
        <v>6215</v>
      </c>
      <c r="K277" s="11">
        <v>3045.35</v>
      </c>
      <c r="L277" s="11">
        <v>0.49</v>
      </c>
      <c r="M277" s="12" t="s">
        <v>46</v>
      </c>
    </row>
    <row r="278" spans="1:13">
      <c r="A278" s="5" t="s">
        <v>22</v>
      </c>
      <c r="B278" s="6">
        <v>1004</v>
      </c>
      <c r="C278" s="7">
        <v>44479</v>
      </c>
      <c r="D278" s="6" t="s">
        <v>3</v>
      </c>
      <c r="E278" s="7" t="s">
        <v>63</v>
      </c>
      <c r="F278" s="7" t="s">
        <v>77</v>
      </c>
      <c r="G278" s="7" t="s">
        <v>14</v>
      </c>
      <c r="H278" s="7">
        <v>50</v>
      </c>
      <c r="I278" s="7">
        <v>525</v>
      </c>
      <c r="J278" s="7">
        <v>26250</v>
      </c>
      <c r="K278" s="7">
        <v>6562.5</v>
      </c>
      <c r="L278" s="7">
        <v>0.25</v>
      </c>
      <c r="M278" s="8" t="s">
        <v>74</v>
      </c>
    </row>
    <row r="279" spans="1:13">
      <c r="A279" s="9" t="s">
        <v>19</v>
      </c>
      <c r="B279" s="10">
        <v>1005</v>
      </c>
      <c r="C279" s="11">
        <v>44343</v>
      </c>
      <c r="D279" s="10" t="s">
        <v>6</v>
      </c>
      <c r="E279" s="11" t="s">
        <v>83</v>
      </c>
      <c r="F279" s="11" t="s">
        <v>84</v>
      </c>
      <c r="G279" s="11" t="s">
        <v>13</v>
      </c>
      <c r="H279" s="11">
        <v>43</v>
      </c>
      <c r="I279" s="11">
        <v>109</v>
      </c>
      <c r="J279" s="11">
        <v>4687</v>
      </c>
      <c r="K279" s="11">
        <v>1921.67</v>
      </c>
      <c r="L279" s="11">
        <v>0.41</v>
      </c>
      <c r="M279" s="12" t="s">
        <v>43</v>
      </c>
    </row>
    <row r="280" spans="1:13">
      <c r="A280" s="5" t="s">
        <v>18</v>
      </c>
      <c r="B280" s="6">
        <v>1001</v>
      </c>
      <c r="C280" s="7">
        <v>44492</v>
      </c>
      <c r="D280" s="6" t="s">
        <v>6</v>
      </c>
      <c r="E280" s="7" t="s">
        <v>134</v>
      </c>
      <c r="F280" s="7" t="s">
        <v>135</v>
      </c>
      <c r="G280" s="7" t="s">
        <v>14</v>
      </c>
      <c r="H280" s="7">
        <v>31</v>
      </c>
      <c r="I280" s="7">
        <v>111</v>
      </c>
      <c r="J280" s="7">
        <v>3441</v>
      </c>
      <c r="K280" s="7">
        <v>1273.17</v>
      </c>
      <c r="L280" s="7">
        <v>0.37</v>
      </c>
      <c r="M280" s="8" t="s">
        <v>43</v>
      </c>
    </row>
    <row r="281" spans="1:13">
      <c r="A281" s="9" t="s">
        <v>18</v>
      </c>
      <c r="B281" s="10">
        <v>1001</v>
      </c>
      <c r="C281" s="11">
        <v>44365</v>
      </c>
      <c r="D281" s="10" t="s">
        <v>4</v>
      </c>
      <c r="E281" s="11" t="s">
        <v>116</v>
      </c>
      <c r="F281" s="11" t="s">
        <v>117</v>
      </c>
      <c r="G281" s="11" t="s">
        <v>13</v>
      </c>
      <c r="H281" s="11">
        <v>43</v>
      </c>
      <c r="I281" s="11">
        <v>117</v>
      </c>
      <c r="J281" s="11">
        <v>5031</v>
      </c>
      <c r="K281" s="11">
        <v>2515.5</v>
      </c>
      <c r="L281" s="11">
        <v>0.5</v>
      </c>
      <c r="M281" s="12" t="s">
        <v>46</v>
      </c>
    </row>
    <row r="282" spans="1:13">
      <c r="A282" s="5" t="s">
        <v>22</v>
      </c>
      <c r="B282" s="6">
        <v>1004</v>
      </c>
      <c r="C282" s="7">
        <v>43962</v>
      </c>
      <c r="D282" s="6" t="s">
        <v>6</v>
      </c>
      <c r="E282" s="7" t="s">
        <v>114</v>
      </c>
      <c r="F282" s="7" t="s">
        <v>115</v>
      </c>
      <c r="G282" s="7" t="s">
        <v>13</v>
      </c>
      <c r="H282" s="7">
        <v>53</v>
      </c>
      <c r="I282" s="7">
        <v>85</v>
      </c>
      <c r="J282" s="7">
        <v>4505</v>
      </c>
      <c r="K282" s="7">
        <v>2072.3000000000002</v>
      </c>
      <c r="L282" s="7">
        <v>0.46</v>
      </c>
      <c r="M282" s="8" t="s">
        <v>46</v>
      </c>
    </row>
    <row r="283" spans="1:13">
      <c r="A283" s="9" t="s">
        <v>18</v>
      </c>
      <c r="B283" s="10">
        <v>1001</v>
      </c>
      <c r="C283" s="11">
        <v>44340</v>
      </c>
      <c r="D283" s="10" t="s">
        <v>6</v>
      </c>
      <c r="E283" s="11" t="s">
        <v>134</v>
      </c>
      <c r="F283" s="11" t="s">
        <v>135</v>
      </c>
      <c r="G283" s="11" t="s">
        <v>9</v>
      </c>
      <c r="H283" s="11">
        <v>55</v>
      </c>
      <c r="I283" s="11">
        <v>200</v>
      </c>
      <c r="J283" s="11">
        <v>11000</v>
      </c>
      <c r="K283" s="11">
        <v>3300</v>
      </c>
      <c r="L283" s="11">
        <v>0.3</v>
      </c>
      <c r="M283" s="12" t="s">
        <v>46</v>
      </c>
    </row>
    <row r="284" spans="1:13">
      <c r="A284" s="5" t="s">
        <v>19</v>
      </c>
      <c r="B284" s="6">
        <v>1005</v>
      </c>
      <c r="C284" s="7">
        <v>44245</v>
      </c>
      <c r="D284" s="6" t="s">
        <v>6</v>
      </c>
      <c r="E284" s="7" t="s">
        <v>125</v>
      </c>
      <c r="F284" s="7" t="s">
        <v>126</v>
      </c>
      <c r="G284" s="7" t="s">
        <v>10</v>
      </c>
      <c r="H284" s="7">
        <v>45</v>
      </c>
      <c r="I284" s="7">
        <v>700</v>
      </c>
      <c r="J284" s="7">
        <v>31500</v>
      </c>
      <c r="K284" s="7">
        <v>7875</v>
      </c>
      <c r="L284" s="7">
        <v>0.25</v>
      </c>
      <c r="M284" s="8" t="s">
        <v>43</v>
      </c>
    </row>
    <row r="285" spans="1:13">
      <c r="A285" s="9" t="s">
        <v>20</v>
      </c>
      <c r="B285" s="10">
        <v>1003</v>
      </c>
      <c r="C285" s="11">
        <v>44482</v>
      </c>
      <c r="D285" s="10" t="s">
        <v>5</v>
      </c>
      <c r="E285" s="11" t="s">
        <v>57</v>
      </c>
      <c r="F285" s="11" t="s">
        <v>58</v>
      </c>
      <c r="G285" s="11" t="s">
        <v>13</v>
      </c>
      <c r="H285" s="11">
        <v>32</v>
      </c>
      <c r="I285" s="11">
        <v>114</v>
      </c>
      <c r="J285" s="11">
        <v>3648</v>
      </c>
      <c r="K285" s="11">
        <v>1605.12</v>
      </c>
      <c r="L285" s="11">
        <v>0.44</v>
      </c>
      <c r="M285" s="12" t="s">
        <v>43</v>
      </c>
    </row>
    <row r="286" spans="1:13">
      <c r="A286" s="5" t="s">
        <v>19</v>
      </c>
      <c r="B286" s="6">
        <v>1005</v>
      </c>
      <c r="C286" s="7">
        <v>44526</v>
      </c>
      <c r="D286" s="6" t="s">
        <v>6</v>
      </c>
      <c r="E286" s="7" t="s">
        <v>83</v>
      </c>
      <c r="F286" s="7" t="s">
        <v>84</v>
      </c>
      <c r="G286" s="7" t="s">
        <v>11</v>
      </c>
      <c r="H286" s="7">
        <v>58</v>
      </c>
      <c r="I286" s="7">
        <v>160</v>
      </c>
      <c r="J286" s="7">
        <v>9280</v>
      </c>
      <c r="K286" s="7">
        <v>4547.2</v>
      </c>
      <c r="L286" s="7">
        <v>0.49</v>
      </c>
      <c r="M286" s="8" t="s">
        <v>46</v>
      </c>
    </row>
    <row r="287" spans="1:13">
      <c r="A287" s="9" t="s">
        <v>17</v>
      </c>
      <c r="B287" s="10">
        <v>1006</v>
      </c>
      <c r="C287" s="11">
        <v>44366</v>
      </c>
      <c r="D287" s="10" t="s">
        <v>3</v>
      </c>
      <c r="E287" s="11" t="s">
        <v>98</v>
      </c>
      <c r="F287" s="11" t="s">
        <v>99</v>
      </c>
      <c r="G287" s="11" t="s">
        <v>14</v>
      </c>
      <c r="H287" s="11">
        <v>43</v>
      </c>
      <c r="I287" s="11">
        <v>109</v>
      </c>
      <c r="J287" s="11">
        <v>4687</v>
      </c>
      <c r="K287" s="11">
        <v>1687.32</v>
      </c>
      <c r="L287" s="11">
        <v>0.36</v>
      </c>
      <c r="M287" s="12" t="s">
        <v>43</v>
      </c>
    </row>
    <row r="288" spans="1:13">
      <c r="A288" s="5" t="s">
        <v>18</v>
      </c>
      <c r="B288" s="6">
        <v>1001</v>
      </c>
      <c r="C288" s="7">
        <v>44385</v>
      </c>
      <c r="D288" s="6" t="s">
        <v>2</v>
      </c>
      <c r="E288" s="7" t="s">
        <v>55</v>
      </c>
      <c r="F288" s="7" t="s">
        <v>56</v>
      </c>
      <c r="G288" s="7" t="s">
        <v>11</v>
      </c>
      <c r="H288" s="7">
        <v>38</v>
      </c>
      <c r="I288" s="7">
        <v>112</v>
      </c>
      <c r="J288" s="7">
        <v>4256</v>
      </c>
      <c r="K288" s="7">
        <v>2298.2399999999998</v>
      </c>
      <c r="L288" s="7">
        <v>0.54</v>
      </c>
      <c r="M288" s="8" t="s">
        <v>46</v>
      </c>
    </row>
    <row r="289" spans="1:13">
      <c r="A289" s="9" t="s">
        <v>18</v>
      </c>
      <c r="B289" s="10">
        <v>1001</v>
      </c>
      <c r="C289" s="11">
        <v>44264</v>
      </c>
      <c r="D289" s="10" t="s">
        <v>6</v>
      </c>
      <c r="E289" s="11" t="s">
        <v>127</v>
      </c>
      <c r="F289" s="11" t="s">
        <v>128</v>
      </c>
      <c r="G289" s="11" t="s">
        <v>12</v>
      </c>
      <c r="H289" s="11">
        <v>55</v>
      </c>
      <c r="I289" s="11">
        <v>325</v>
      </c>
      <c r="J289" s="11">
        <v>17875</v>
      </c>
      <c r="K289" s="11">
        <v>7150</v>
      </c>
      <c r="L289" s="11">
        <v>0.4</v>
      </c>
      <c r="M289" s="12" t="s">
        <v>43</v>
      </c>
    </row>
    <row r="290" spans="1:13">
      <c r="A290" s="5" t="s">
        <v>22</v>
      </c>
      <c r="B290" s="6">
        <v>1004</v>
      </c>
      <c r="C290" s="7">
        <v>44244</v>
      </c>
      <c r="D290" s="6" t="s">
        <v>6</v>
      </c>
      <c r="E290" s="7" t="s">
        <v>93</v>
      </c>
      <c r="F290" s="7" t="s">
        <v>94</v>
      </c>
      <c r="G290" s="7" t="s">
        <v>10</v>
      </c>
      <c r="H290" s="7">
        <v>31</v>
      </c>
      <c r="I290" s="7">
        <v>124</v>
      </c>
      <c r="J290" s="7">
        <v>3844</v>
      </c>
      <c r="K290" s="7">
        <v>1652.92</v>
      </c>
      <c r="L290" s="7">
        <v>0.42999999999999988</v>
      </c>
      <c r="M290" s="8" t="s">
        <v>43</v>
      </c>
    </row>
    <row r="291" spans="1:13">
      <c r="A291" s="9" t="s">
        <v>22</v>
      </c>
      <c r="B291" s="10">
        <v>1004</v>
      </c>
      <c r="C291" s="11">
        <v>44351</v>
      </c>
      <c r="D291" s="10" t="s">
        <v>6</v>
      </c>
      <c r="E291" s="11" t="s">
        <v>120</v>
      </c>
      <c r="F291" s="11" t="s">
        <v>121</v>
      </c>
      <c r="G291" s="11" t="s">
        <v>13</v>
      </c>
      <c r="H291" s="11">
        <v>50</v>
      </c>
      <c r="I291" s="11">
        <v>550</v>
      </c>
      <c r="J291" s="11">
        <v>27500</v>
      </c>
      <c r="K291" s="11">
        <v>12375</v>
      </c>
      <c r="L291" s="11">
        <v>0.45</v>
      </c>
      <c r="M291" s="12" t="s">
        <v>46</v>
      </c>
    </row>
    <row r="292" spans="1:13">
      <c r="A292" s="5" t="s">
        <v>20</v>
      </c>
      <c r="B292" s="6">
        <v>1003</v>
      </c>
      <c r="C292" s="7">
        <v>44351</v>
      </c>
      <c r="D292" s="6" t="s">
        <v>5</v>
      </c>
      <c r="E292" s="7" t="s">
        <v>89</v>
      </c>
      <c r="F292" s="7" t="s">
        <v>90</v>
      </c>
      <c r="G292" s="7" t="s">
        <v>14</v>
      </c>
      <c r="H292" s="7">
        <v>50</v>
      </c>
      <c r="I292" s="7">
        <v>675</v>
      </c>
      <c r="J292" s="7">
        <v>33750</v>
      </c>
      <c r="K292" s="7">
        <v>13500</v>
      </c>
      <c r="L292" s="7">
        <v>0.4</v>
      </c>
      <c r="M292" s="8" t="s">
        <v>46</v>
      </c>
    </row>
    <row r="293" spans="1:13">
      <c r="A293" s="9" t="s">
        <v>17</v>
      </c>
      <c r="B293" s="10">
        <v>1006</v>
      </c>
      <c r="C293" s="11">
        <v>44386</v>
      </c>
      <c r="D293" s="10" t="s">
        <v>2</v>
      </c>
      <c r="E293" s="11" t="s">
        <v>123</v>
      </c>
      <c r="F293" s="11" t="s">
        <v>124</v>
      </c>
      <c r="G293" s="11" t="s">
        <v>10</v>
      </c>
      <c r="H293" s="11">
        <v>60</v>
      </c>
      <c r="I293" s="11">
        <v>650</v>
      </c>
      <c r="J293" s="11">
        <v>39000</v>
      </c>
      <c r="K293" s="11">
        <v>13650</v>
      </c>
      <c r="L293" s="11">
        <v>0.35</v>
      </c>
      <c r="M293" s="12" t="s">
        <v>46</v>
      </c>
    </row>
    <row r="294" spans="1:13">
      <c r="A294" s="5" t="s">
        <v>18</v>
      </c>
      <c r="B294" s="6">
        <v>1001</v>
      </c>
      <c r="C294" s="7">
        <v>44208</v>
      </c>
      <c r="D294" s="6" t="s">
        <v>2</v>
      </c>
      <c r="E294" s="7" t="s">
        <v>66</v>
      </c>
      <c r="F294" s="7" t="s">
        <v>67</v>
      </c>
      <c r="G294" s="7" t="s">
        <v>9</v>
      </c>
      <c r="H294" s="7">
        <v>50</v>
      </c>
      <c r="I294" s="7">
        <v>175</v>
      </c>
      <c r="J294" s="7">
        <v>8750</v>
      </c>
      <c r="K294" s="7">
        <v>3062.5</v>
      </c>
      <c r="L294" s="7">
        <v>0.35</v>
      </c>
      <c r="M294" s="8" t="s">
        <v>46</v>
      </c>
    </row>
    <row r="295" spans="1:13">
      <c r="A295" s="9" t="s">
        <v>21</v>
      </c>
      <c r="B295" s="10">
        <v>1002</v>
      </c>
      <c r="C295" s="11">
        <v>44450</v>
      </c>
      <c r="D295" s="10" t="s">
        <v>6</v>
      </c>
      <c r="E295" s="11" t="s">
        <v>127</v>
      </c>
      <c r="F295" s="11" t="s">
        <v>128</v>
      </c>
      <c r="G295" s="11" t="s">
        <v>10</v>
      </c>
      <c r="H295" s="11">
        <v>70</v>
      </c>
      <c r="I295" s="11">
        <v>550</v>
      </c>
      <c r="J295" s="11">
        <v>38500</v>
      </c>
      <c r="K295" s="11">
        <v>7700</v>
      </c>
      <c r="L295" s="11">
        <v>0.2</v>
      </c>
      <c r="M295" s="12" t="s">
        <v>43</v>
      </c>
    </row>
    <row r="296" spans="1:13">
      <c r="A296" s="5" t="s">
        <v>21</v>
      </c>
      <c r="B296" s="6">
        <v>1002</v>
      </c>
      <c r="C296" s="7">
        <v>44075</v>
      </c>
      <c r="D296" s="6" t="s">
        <v>4</v>
      </c>
      <c r="E296" s="7" t="s">
        <v>64</v>
      </c>
      <c r="F296" s="7" t="s">
        <v>78</v>
      </c>
      <c r="G296" s="7" t="s">
        <v>14</v>
      </c>
      <c r="H296" s="7">
        <v>40</v>
      </c>
      <c r="I296" s="7">
        <v>1100</v>
      </c>
      <c r="J296" s="7">
        <v>44000</v>
      </c>
      <c r="K296" s="7">
        <v>15400</v>
      </c>
      <c r="L296" s="7">
        <v>0.35</v>
      </c>
      <c r="M296" s="8" t="s">
        <v>43</v>
      </c>
    </row>
    <row r="297" spans="1:13">
      <c r="A297" s="9" t="s">
        <v>18</v>
      </c>
      <c r="B297" s="10">
        <v>1001</v>
      </c>
      <c r="C297" s="11">
        <v>44399</v>
      </c>
      <c r="D297" s="10" t="s">
        <v>6</v>
      </c>
      <c r="E297" s="11" t="s">
        <v>134</v>
      </c>
      <c r="F297" s="11" t="s">
        <v>135</v>
      </c>
      <c r="G297" s="11" t="s">
        <v>10</v>
      </c>
      <c r="H297" s="11">
        <v>50</v>
      </c>
      <c r="I297" s="11">
        <v>142</v>
      </c>
      <c r="J297" s="11">
        <v>7100</v>
      </c>
      <c r="K297" s="11">
        <v>3621</v>
      </c>
      <c r="L297" s="11">
        <v>0.51</v>
      </c>
      <c r="M297" s="12" t="s">
        <v>46</v>
      </c>
    </row>
    <row r="298" spans="1:13">
      <c r="A298" s="5" t="s">
        <v>20</v>
      </c>
      <c r="B298" s="6">
        <v>1003</v>
      </c>
      <c r="C298" s="7">
        <v>44327</v>
      </c>
      <c r="D298" s="6" t="s">
        <v>4</v>
      </c>
      <c r="E298" s="7" t="s">
        <v>104</v>
      </c>
      <c r="F298" s="7" t="s">
        <v>105</v>
      </c>
      <c r="G298" s="7" t="s">
        <v>14</v>
      </c>
      <c r="H298" s="7">
        <v>55</v>
      </c>
      <c r="I298" s="7">
        <v>600</v>
      </c>
      <c r="J298" s="7">
        <v>33000</v>
      </c>
      <c r="K298" s="7">
        <v>14850</v>
      </c>
      <c r="L298" s="7">
        <v>0.45</v>
      </c>
      <c r="M298" s="8" t="s">
        <v>43</v>
      </c>
    </row>
    <row r="299" spans="1:13">
      <c r="A299" s="9" t="s">
        <v>18</v>
      </c>
      <c r="B299" s="10">
        <v>1001</v>
      </c>
      <c r="C299" s="11">
        <v>44050</v>
      </c>
      <c r="D299" s="10" t="s">
        <v>6</v>
      </c>
      <c r="E299" s="11" t="s">
        <v>118</v>
      </c>
      <c r="F299" s="11" t="s">
        <v>119</v>
      </c>
      <c r="G299" s="11" t="s">
        <v>10</v>
      </c>
      <c r="H299" s="11">
        <v>45</v>
      </c>
      <c r="I299" s="11">
        <v>850</v>
      </c>
      <c r="J299" s="11">
        <v>38250</v>
      </c>
      <c r="K299" s="11">
        <v>13387.5</v>
      </c>
      <c r="L299" s="11">
        <v>0.35</v>
      </c>
      <c r="M299" s="12" t="s">
        <v>74</v>
      </c>
    </row>
    <row r="300" spans="1:13">
      <c r="A300" s="5" t="s">
        <v>20</v>
      </c>
      <c r="B300" s="6">
        <v>1003</v>
      </c>
      <c r="C300" s="7">
        <v>44268</v>
      </c>
      <c r="D300" s="6" t="s">
        <v>3</v>
      </c>
      <c r="E300" s="7" t="s">
        <v>100</v>
      </c>
      <c r="F300" s="7" t="s">
        <v>101</v>
      </c>
      <c r="G300" s="7" t="s">
        <v>13</v>
      </c>
      <c r="H300" s="7">
        <v>35</v>
      </c>
      <c r="I300" s="7">
        <v>300</v>
      </c>
      <c r="J300" s="7">
        <v>10500</v>
      </c>
      <c r="K300" s="7">
        <v>2625</v>
      </c>
      <c r="L300" s="7">
        <v>0.25</v>
      </c>
      <c r="M300" s="8" t="s">
        <v>74</v>
      </c>
    </row>
    <row r="301" spans="1:13">
      <c r="A301" s="9" t="s">
        <v>19</v>
      </c>
      <c r="B301" s="10">
        <v>1005</v>
      </c>
      <c r="C301" s="11">
        <v>44326</v>
      </c>
      <c r="D301" s="10" t="s">
        <v>6</v>
      </c>
      <c r="E301" s="11" t="s">
        <v>143</v>
      </c>
      <c r="F301" s="11" t="s">
        <v>144</v>
      </c>
      <c r="G301" s="11" t="s">
        <v>13</v>
      </c>
      <c r="H301" s="11">
        <v>39</v>
      </c>
      <c r="I301" s="11">
        <v>131</v>
      </c>
      <c r="J301" s="11">
        <v>5109</v>
      </c>
      <c r="K301" s="11">
        <v>2554.5</v>
      </c>
      <c r="L301" s="11">
        <v>0.5</v>
      </c>
      <c r="M301" s="12" t="s">
        <v>46</v>
      </c>
    </row>
    <row r="302" spans="1:13">
      <c r="A302" s="5" t="s">
        <v>19</v>
      </c>
      <c r="B302" s="6">
        <v>1005</v>
      </c>
      <c r="C302" s="7">
        <v>44277</v>
      </c>
      <c r="D302" s="6" t="s">
        <v>6</v>
      </c>
      <c r="E302" s="7" t="s">
        <v>125</v>
      </c>
      <c r="F302" s="7" t="s">
        <v>133</v>
      </c>
      <c r="G302" s="7" t="s">
        <v>13</v>
      </c>
      <c r="H302" s="7">
        <v>45</v>
      </c>
      <c r="I302" s="7">
        <v>550</v>
      </c>
      <c r="J302" s="7">
        <v>24750</v>
      </c>
      <c r="K302" s="7">
        <v>8662.5</v>
      </c>
      <c r="L302" s="7">
        <v>0.35</v>
      </c>
      <c r="M302" s="8" t="s">
        <v>43</v>
      </c>
    </row>
    <row r="303" spans="1:13">
      <c r="A303" s="9" t="s">
        <v>17</v>
      </c>
      <c r="B303" s="10">
        <v>1006</v>
      </c>
      <c r="C303" s="11">
        <v>44307</v>
      </c>
      <c r="D303" s="10" t="s">
        <v>6</v>
      </c>
      <c r="E303" s="11" t="s">
        <v>108</v>
      </c>
      <c r="F303" s="11" t="s">
        <v>109</v>
      </c>
      <c r="G303" s="11" t="s">
        <v>11</v>
      </c>
      <c r="H303" s="11">
        <v>55</v>
      </c>
      <c r="I303" s="11">
        <v>525</v>
      </c>
      <c r="J303" s="11">
        <v>28875</v>
      </c>
      <c r="K303" s="11">
        <v>10106.25</v>
      </c>
      <c r="L303" s="11">
        <v>0.35</v>
      </c>
      <c r="M303" s="12" t="s">
        <v>43</v>
      </c>
    </row>
    <row r="304" spans="1:13">
      <c r="A304" s="5" t="s">
        <v>18</v>
      </c>
      <c r="B304" s="6">
        <v>1001</v>
      </c>
      <c r="C304" s="7">
        <v>44338</v>
      </c>
      <c r="D304" s="6" t="s">
        <v>4</v>
      </c>
      <c r="E304" s="7" t="s">
        <v>104</v>
      </c>
      <c r="F304" s="7" t="s">
        <v>105</v>
      </c>
      <c r="G304" s="7" t="s">
        <v>10</v>
      </c>
      <c r="H304" s="7">
        <v>32</v>
      </c>
      <c r="I304" s="7">
        <v>56</v>
      </c>
      <c r="J304" s="7">
        <v>1792</v>
      </c>
      <c r="K304" s="7">
        <v>878.08</v>
      </c>
      <c r="L304" s="7">
        <v>0.49</v>
      </c>
      <c r="M304" s="8" t="s">
        <v>46</v>
      </c>
    </row>
    <row r="305" spans="1:13">
      <c r="A305" s="9" t="s">
        <v>18</v>
      </c>
      <c r="B305" s="10">
        <v>1001</v>
      </c>
      <c r="C305" s="11">
        <v>44155</v>
      </c>
      <c r="D305" s="10" t="s">
        <v>2</v>
      </c>
      <c r="E305" s="11" t="s">
        <v>96</v>
      </c>
      <c r="F305" s="11" t="s">
        <v>97</v>
      </c>
      <c r="G305" s="11" t="s">
        <v>9</v>
      </c>
      <c r="H305" s="11">
        <v>49</v>
      </c>
      <c r="I305" s="11">
        <v>45</v>
      </c>
      <c r="J305" s="11">
        <v>2205</v>
      </c>
      <c r="K305" s="11">
        <v>926.1</v>
      </c>
      <c r="L305" s="11">
        <v>0.42</v>
      </c>
      <c r="M305" s="12" t="s">
        <v>46</v>
      </c>
    </row>
    <row r="306" spans="1:13">
      <c r="A306" s="5" t="s">
        <v>17</v>
      </c>
      <c r="B306" s="6">
        <v>1006</v>
      </c>
      <c r="C306" s="7">
        <v>44238</v>
      </c>
      <c r="D306" s="6" t="s">
        <v>5</v>
      </c>
      <c r="E306" s="7" t="s">
        <v>89</v>
      </c>
      <c r="F306" s="7" t="s">
        <v>90</v>
      </c>
      <c r="G306" s="7" t="s">
        <v>10</v>
      </c>
      <c r="H306" s="7">
        <v>33</v>
      </c>
      <c r="I306" s="7">
        <v>143</v>
      </c>
      <c r="J306" s="7">
        <v>4719</v>
      </c>
      <c r="K306" s="7">
        <v>2359.5</v>
      </c>
      <c r="L306" s="7">
        <v>0.5</v>
      </c>
      <c r="M306" s="8" t="s">
        <v>46</v>
      </c>
    </row>
    <row r="307" spans="1:13">
      <c r="A307" s="9" t="s">
        <v>20</v>
      </c>
      <c r="B307" s="10">
        <v>1003</v>
      </c>
      <c r="C307" s="11">
        <v>44209</v>
      </c>
      <c r="D307" s="10" t="s">
        <v>6</v>
      </c>
      <c r="E307" s="11" t="s">
        <v>83</v>
      </c>
      <c r="F307" s="11" t="s">
        <v>84</v>
      </c>
      <c r="G307" s="11" t="s">
        <v>14</v>
      </c>
      <c r="H307" s="11">
        <v>38</v>
      </c>
      <c r="I307" s="11">
        <v>126</v>
      </c>
      <c r="J307" s="11">
        <v>4788</v>
      </c>
      <c r="K307" s="11">
        <v>2154.6</v>
      </c>
      <c r="L307" s="11">
        <v>0.45</v>
      </c>
      <c r="M307" s="12" t="s">
        <v>46</v>
      </c>
    </row>
    <row r="308" spans="1:13">
      <c r="A308" s="5" t="s">
        <v>18</v>
      </c>
      <c r="B308" s="6">
        <v>1001</v>
      </c>
      <c r="C308" s="7">
        <v>44220</v>
      </c>
      <c r="D308" s="6" t="s">
        <v>3</v>
      </c>
      <c r="E308" s="7" t="s">
        <v>112</v>
      </c>
      <c r="F308" s="7" t="s">
        <v>113</v>
      </c>
      <c r="G308" s="7" t="s">
        <v>12</v>
      </c>
      <c r="H308" s="7">
        <v>35</v>
      </c>
      <c r="I308" s="7">
        <v>225</v>
      </c>
      <c r="J308" s="7">
        <v>7875</v>
      </c>
      <c r="K308" s="7">
        <v>2362.5</v>
      </c>
      <c r="L308" s="7">
        <v>0.3</v>
      </c>
      <c r="M308" s="8" t="s">
        <v>74</v>
      </c>
    </row>
    <row r="309" spans="1:13">
      <c r="A309" s="9" t="s">
        <v>20</v>
      </c>
      <c r="B309" s="10">
        <v>1003</v>
      </c>
      <c r="C309" s="11">
        <v>44428</v>
      </c>
      <c r="D309" s="10" t="s">
        <v>4</v>
      </c>
      <c r="E309" s="11" t="s">
        <v>64</v>
      </c>
      <c r="F309" s="11" t="s">
        <v>65</v>
      </c>
      <c r="G309" s="11" t="s">
        <v>13</v>
      </c>
      <c r="H309" s="11">
        <v>28</v>
      </c>
      <c r="I309" s="11">
        <v>136</v>
      </c>
      <c r="J309" s="11">
        <v>3808</v>
      </c>
      <c r="K309" s="11">
        <v>1713.6</v>
      </c>
      <c r="L309" s="11">
        <v>0.45</v>
      </c>
      <c r="M309" s="12" t="s">
        <v>43</v>
      </c>
    </row>
    <row r="310" spans="1:13">
      <c r="A310" s="5" t="s">
        <v>18</v>
      </c>
      <c r="B310" s="6">
        <v>1001</v>
      </c>
      <c r="C310" s="7">
        <v>44357</v>
      </c>
      <c r="D310" s="6" t="s">
        <v>6</v>
      </c>
      <c r="E310" s="7" t="s">
        <v>127</v>
      </c>
      <c r="F310" s="7" t="s">
        <v>128</v>
      </c>
      <c r="G310" s="7" t="s">
        <v>10</v>
      </c>
      <c r="H310" s="7">
        <v>72</v>
      </c>
      <c r="I310" s="7">
        <v>156</v>
      </c>
      <c r="J310" s="7">
        <v>11232</v>
      </c>
      <c r="K310" s="7">
        <v>3481.92</v>
      </c>
      <c r="L310" s="7">
        <v>0.31</v>
      </c>
      <c r="M310" s="8" t="s">
        <v>46</v>
      </c>
    </row>
    <row r="311" spans="1:13">
      <c r="A311" s="9" t="s">
        <v>18</v>
      </c>
      <c r="B311" s="10">
        <v>1001</v>
      </c>
      <c r="C311" s="11">
        <v>44524</v>
      </c>
      <c r="D311" s="10" t="s">
        <v>5</v>
      </c>
      <c r="E311" s="11" t="s">
        <v>59</v>
      </c>
      <c r="F311" s="11" t="s">
        <v>60</v>
      </c>
      <c r="G311" s="11" t="s">
        <v>10</v>
      </c>
      <c r="H311" s="11">
        <v>50</v>
      </c>
      <c r="I311" s="11">
        <v>650</v>
      </c>
      <c r="J311" s="11">
        <v>32500</v>
      </c>
      <c r="K311" s="11">
        <v>11375</v>
      </c>
      <c r="L311" s="11">
        <v>0.35</v>
      </c>
      <c r="M311" s="12" t="s">
        <v>74</v>
      </c>
    </row>
    <row r="312" spans="1:13">
      <c r="A312" s="5" t="s">
        <v>18</v>
      </c>
      <c r="B312" s="6">
        <v>1001</v>
      </c>
      <c r="C312" s="7">
        <v>44292</v>
      </c>
      <c r="D312" s="6" t="s">
        <v>2</v>
      </c>
      <c r="E312" s="7" t="s">
        <v>138</v>
      </c>
      <c r="F312" s="7" t="s">
        <v>139</v>
      </c>
      <c r="G312" s="7" t="s">
        <v>12</v>
      </c>
      <c r="H312" s="7">
        <v>46</v>
      </c>
      <c r="I312" s="7">
        <v>63</v>
      </c>
      <c r="J312" s="7">
        <v>2898</v>
      </c>
      <c r="K312" s="7">
        <v>1506.96</v>
      </c>
      <c r="L312" s="7">
        <v>0.52</v>
      </c>
      <c r="M312" s="8" t="s">
        <v>46</v>
      </c>
    </row>
    <row r="313" spans="1:13">
      <c r="A313" s="9" t="s">
        <v>18</v>
      </c>
      <c r="B313" s="10">
        <v>1001</v>
      </c>
      <c r="C313" s="11">
        <v>44343</v>
      </c>
      <c r="D313" s="10" t="s">
        <v>2</v>
      </c>
      <c r="E313" s="11" t="s">
        <v>55</v>
      </c>
      <c r="F313" s="11" t="s">
        <v>56</v>
      </c>
      <c r="G313" s="11" t="s">
        <v>11</v>
      </c>
      <c r="H313" s="11">
        <v>32</v>
      </c>
      <c r="I313" s="11">
        <v>119</v>
      </c>
      <c r="J313" s="11">
        <v>3808</v>
      </c>
      <c r="K313" s="11">
        <v>2056.3200000000002</v>
      </c>
      <c r="L313" s="11">
        <v>0.54</v>
      </c>
      <c r="M313" s="12" t="s">
        <v>46</v>
      </c>
    </row>
    <row r="314" spans="1:13">
      <c r="A314" s="5" t="s">
        <v>20</v>
      </c>
      <c r="B314" s="6">
        <v>1003</v>
      </c>
      <c r="C314" s="7">
        <v>44380</v>
      </c>
      <c r="D314" s="6" t="s">
        <v>3</v>
      </c>
      <c r="E314" s="7" t="s">
        <v>131</v>
      </c>
      <c r="F314" s="7" t="s">
        <v>132</v>
      </c>
      <c r="G314" s="7" t="s">
        <v>14</v>
      </c>
      <c r="H314" s="7">
        <v>29</v>
      </c>
      <c r="I314" s="7">
        <v>111</v>
      </c>
      <c r="J314" s="7">
        <v>3219</v>
      </c>
      <c r="K314" s="7">
        <v>1094.46</v>
      </c>
      <c r="L314" s="7">
        <v>0.34</v>
      </c>
      <c r="M314" s="8" t="s">
        <v>43</v>
      </c>
    </row>
    <row r="315" spans="1:13">
      <c r="A315" s="9" t="s">
        <v>22</v>
      </c>
      <c r="B315" s="10">
        <v>1004</v>
      </c>
      <c r="C315" s="11">
        <v>44364</v>
      </c>
      <c r="D315" s="10" t="s">
        <v>4</v>
      </c>
      <c r="E315" s="11" t="s">
        <v>53</v>
      </c>
      <c r="F315" s="11" t="s">
        <v>54</v>
      </c>
      <c r="G315" s="11" t="s">
        <v>12</v>
      </c>
      <c r="H315" s="11">
        <v>110</v>
      </c>
      <c r="I315" s="11">
        <v>750</v>
      </c>
      <c r="J315" s="11">
        <v>82500</v>
      </c>
      <c r="K315" s="11">
        <v>28875</v>
      </c>
      <c r="L315" s="11">
        <v>0.35</v>
      </c>
      <c r="M315" s="12" t="s">
        <v>46</v>
      </c>
    </row>
    <row r="316" spans="1:13">
      <c r="A316" s="5" t="s">
        <v>22</v>
      </c>
      <c r="B316" s="6">
        <v>1004</v>
      </c>
      <c r="C316" s="7">
        <v>43964</v>
      </c>
      <c r="D316" s="6" t="s">
        <v>6</v>
      </c>
      <c r="E316" s="7" t="s">
        <v>114</v>
      </c>
      <c r="F316" s="7" t="s">
        <v>115</v>
      </c>
      <c r="G316" s="7" t="s">
        <v>12</v>
      </c>
      <c r="H316" s="7">
        <v>70</v>
      </c>
      <c r="I316" s="7">
        <v>350</v>
      </c>
      <c r="J316" s="7">
        <v>24500</v>
      </c>
      <c r="K316" s="7">
        <v>4900</v>
      </c>
      <c r="L316" s="7">
        <v>0.2</v>
      </c>
      <c r="M316" s="8" t="s">
        <v>74</v>
      </c>
    </row>
    <row r="317" spans="1:13">
      <c r="A317" s="9" t="s">
        <v>20</v>
      </c>
      <c r="B317" s="10">
        <v>1003</v>
      </c>
      <c r="C317" s="11">
        <v>44270</v>
      </c>
      <c r="D317" s="10" t="s">
        <v>4</v>
      </c>
      <c r="E317" s="11" t="s">
        <v>104</v>
      </c>
      <c r="F317" s="11" t="s">
        <v>105</v>
      </c>
      <c r="G317" s="11" t="s">
        <v>12</v>
      </c>
      <c r="H317" s="11">
        <v>24</v>
      </c>
      <c r="I317" s="11">
        <v>170</v>
      </c>
      <c r="J317" s="11">
        <v>4080</v>
      </c>
      <c r="K317" s="11">
        <v>2162.4</v>
      </c>
      <c r="L317" s="11">
        <v>0.53</v>
      </c>
      <c r="M317" s="12" t="s">
        <v>43</v>
      </c>
    </row>
    <row r="318" spans="1:13">
      <c r="A318" s="5" t="s">
        <v>19</v>
      </c>
      <c r="B318" s="6">
        <v>1005</v>
      </c>
      <c r="C318" s="7">
        <v>44383</v>
      </c>
      <c r="D318" s="6" t="s">
        <v>3</v>
      </c>
      <c r="E318" s="7" t="s">
        <v>85</v>
      </c>
      <c r="F318" s="7" t="s">
        <v>86</v>
      </c>
      <c r="G318" s="7" t="s">
        <v>14</v>
      </c>
      <c r="H318" s="7">
        <v>40</v>
      </c>
      <c r="I318" s="7">
        <v>300</v>
      </c>
      <c r="J318" s="7">
        <v>12000</v>
      </c>
      <c r="K318" s="7">
        <v>4800</v>
      </c>
      <c r="L318" s="7">
        <v>0.4</v>
      </c>
      <c r="M318" s="8" t="s">
        <v>74</v>
      </c>
    </row>
    <row r="319" spans="1:13">
      <c r="A319" s="9" t="s">
        <v>19</v>
      </c>
      <c r="B319" s="10">
        <v>1005</v>
      </c>
      <c r="C319" s="11">
        <v>44341</v>
      </c>
      <c r="D319" s="10" t="s">
        <v>6</v>
      </c>
      <c r="E319" s="11" t="s">
        <v>125</v>
      </c>
      <c r="F319" s="11" t="s">
        <v>133</v>
      </c>
      <c r="G319" s="11" t="s">
        <v>11</v>
      </c>
      <c r="H319" s="11">
        <v>49</v>
      </c>
      <c r="I319" s="11">
        <v>225</v>
      </c>
      <c r="J319" s="11">
        <v>11025</v>
      </c>
      <c r="K319" s="11">
        <v>5622.75</v>
      </c>
      <c r="L319" s="11">
        <v>0.51</v>
      </c>
      <c r="M319" s="12" t="s">
        <v>46</v>
      </c>
    </row>
    <row r="320" spans="1:13">
      <c r="A320" s="5" t="s">
        <v>17</v>
      </c>
      <c r="B320" s="6">
        <v>1006</v>
      </c>
      <c r="C320" s="7">
        <v>44514</v>
      </c>
      <c r="D320" s="6" t="s">
        <v>3</v>
      </c>
      <c r="E320" s="7" t="s">
        <v>95</v>
      </c>
      <c r="F320" s="7" t="s">
        <v>94</v>
      </c>
      <c r="G320" s="7" t="s">
        <v>13</v>
      </c>
      <c r="H320" s="7">
        <v>45</v>
      </c>
      <c r="I320" s="7">
        <v>175</v>
      </c>
      <c r="J320" s="7">
        <v>7875</v>
      </c>
      <c r="K320" s="7">
        <v>2362.5</v>
      </c>
      <c r="L320" s="7">
        <v>0.3</v>
      </c>
      <c r="M320" s="8" t="s">
        <v>43</v>
      </c>
    </row>
    <row r="321" spans="1:13">
      <c r="A321" s="9" t="s">
        <v>20</v>
      </c>
      <c r="B321" s="10">
        <v>1003</v>
      </c>
      <c r="C321" s="11">
        <v>44390</v>
      </c>
      <c r="D321" s="10" t="s">
        <v>3</v>
      </c>
      <c r="E321" s="11" t="s">
        <v>100</v>
      </c>
      <c r="F321" s="11" t="s">
        <v>101</v>
      </c>
      <c r="G321" s="11" t="s">
        <v>12</v>
      </c>
      <c r="H321" s="11">
        <v>55</v>
      </c>
      <c r="I321" s="11">
        <v>128</v>
      </c>
      <c r="J321" s="11">
        <v>7040</v>
      </c>
      <c r="K321" s="11">
        <v>2956.8</v>
      </c>
      <c r="L321" s="11">
        <v>0.42</v>
      </c>
      <c r="M321" s="12" t="s">
        <v>46</v>
      </c>
    </row>
    <row r="322" spans="1:13">
      <c r="A322" s="5" t="s">
        <v>18</v>
      </c>
      <c r="B322" s="6">
        <v>1001</v>
      </c>
      <c r="C322" s="7">
        <v>44250</v>
      </c>
      <c r="D322" s="6" t="s">
        <v>6</v>
      </c>
      <c r="E322" s="7" t="s">
        <v>120</v>
      </c>
      <c r="F322" s="7" t="s">
        <v>121</v>
      </c>
      <c r="G322" s="7" t="s">
        <v>10</v>
      </c>
      <c r="H322" s="7">
        <v>40</v>
      </c>
      <c r="I322" s="7">
        <v>375</v>
      </c>
      <c r="J322" s="7">
        <v>15000</v>
      </c>
      <c r="K322" s="7">
        <v>6000</v>
      </c>
      <c r="L322" s="7">
        <v>0.4</v>
      </c>
      <c r="M322" s="8" t="s">
        <v>46</v>
      </c>
    </row>
    <row r="323" spans="1:13">
      <c r="A323" s="9" t="s">
        <v>20</v>
      </c>
      <c r="B323" s="10">
        <v>1003</v>
      </c>
      <c r="C323" s="11">
        <v>44443</v>
      </c>
      <c r="D323" s="10" t="s">
        <v>4</v>
      </c>
      <c r="E323" s="11" t="s">
        <v>64</v>
      </c>
      <c r="F323" s="11" t="s">
        <v>65</v>
      </c>
      <c r="G323" s="11" t="s">
        <v>11</v>
      </c>
      <c r="H323" s="11">
        <v>13</v>
      </c>
      <c r="I323" s="11">
        <v>233</v>
      </c>
      <c r="J323" s="11">
        <v>3029</v>
      </c>
      <c r="K323" s="11">
        <v>1151.02</v>
      </c>
      <c r="L323" s="11">
        <v>0.38</v>
      </c>
      <c r="M323" s="12" t="s">
        <v>43</v>
      </c>
    </row>
    <row r="324" spans="1:13">
      <c r="A324" s="5" t="s">
        <v>18</v>
      </c>
      <c r="B324" s="6">
        <v>1001</v>
      </c>
      <c r="C324" s="7">
        <v>44310</v>
      </c>
      <c r="D324" s="6" t="s">
        <v>5</v>
      </c>
      <c r="E324" s="7" t="s">
        <v>59</v>
      </c>
      <c r="F324" s="7" t="s">
        <v>60</v>
      </c>
      <c r="G324" s="7" t="s">
        <v>9</v>
      </c>
      <c r="H324" s="7">
        <v>49</v>
      </c>
      <c r="I324" s="7">
        <v>35</v>
      </c>
      <c r="J324" s="7">
        <v>1715</v>
      </c>
      <c r="K324" s="7">
        <v>874.65</v>
      </c>
      <c r="L324" s="7">
        <v>0.51</v>
      </c>
      <c r="M324" s="8" t="s">
        <v>46</v>
      </c>
    </row>
    <row r="325" spans="1:13">
      <c r="A325" s="9" t="s">
        <v>20</v>
      </c>
      <c r="B325" s="10">
        <v>1003</v>
      </c>
      <c r="C325" s="11">
        <v>44043</v>
      </c>
      <c r="D325" s="10" t="s">
        <v>4</v>
      </c>
      <c r="E325" s="11" t="s">
        <v>64</v>
      </c>
      <c r="F325" s="11" t="s">
        <v>78</v>
      </c>
      <c r="G325" s="11" t="s">
        <v>11</v>
      </c>
      <c r="H325" s="11">
        <v>30</v>
      </c>
      <c r="I325" s="11">
        <v>875</v>
      </c>
      <c r="J325" s="11">
        <v>26250</v>
      </c>
      <c r="K325" s="11">
        <v>9187.5</v>
      </c>
      <c r="L325" s="11">
        <v>0.35</v>
      </c>
      <c r="M325" s="12" t="s">
        <v>43</v>
      </c>
    </row>
    <row r="326" spans="1:13">
      <c r="A326" s="5" t="s">
        <v>20</v>
      </c>
      <c r="B326" s="6">
        <v>1003</v>
      </c>
      <c r="C326" s="7">
        <v>44416</v>
      </c>
      <c r="D326" s="6" t="s">
        <v>6</v>
      </c>
      <c r="E326" s="7" t="s">
        <v>120</v>
      </c>
      <c r="F326" s="7" t="s">
        <v>121</v>
      </c>
      <c r="G326" s="7" t="s">
        <v>12</v>
      </c>
      <c r="H326" s="7">
        <v>44</v>
      </c>
      <c r="I326" s="7">
        <v>239</v>
      </c>
      <c r="J326" s="7">
        <v>10516</v>
      </c>
      <c r="K326" s="7">
        <v>6414.76</v>
      </c>
      <c r="L326" s="7">
        <v>0.6100000000000001</v>
      </c>
      <c r="M326" s="8" t="s">
        <v>43</v>
      </c>
    </row>
    <row r="327" spans="1:13">
      <c r="A327" s="9" t="s">
        <v>18</v>
      </c>
      <c r="B327" s="10">
        <v>1001</v>
      </c>
      <c r="C327" s="11">
        <v>44365</v>
      </c>
      <c r="D327" s="10" t="s">
        <v>2</v>
      </c>
      <c r="E327" s="11" t="s">
        <v>91</v>
      </c>
      <c r="F327" s="11" t="s">
        <v>92</v>
      </c>
      <c r="G327" s="11" t="s">
        <v>12</v>
      </c>
      <c r="H327" s="11">
        <v>42</v>
      </c>
      <c r="I327" s="11">
        <v>142</v>
      </c>
      <c r="J327" s="11">
        <v>5964</v>
      </c>
      <c r="K327" s="11">
        <v>3876.6</v>
      </c>
      <c r="L327" s="11">
        <v>0.65</v>
      </c>
      <c r="M327" s="12" t="s">
        <v>46</v>
      </c>
    </row>
    <row r="328" spans="1:13">
      <c r="A328" s="5" t="s">
        <v>17</v>
      </c>
      <c r="B328" s="6">
        <v>1006</v>
      </c>
      <c r="C328" s="7">
        <v>44358</v>
      </c>
      <c r="D328" s="6" t="s">
        <v>2</v>
      </c>
      <c r="E328" s="7" t="s">
        <v>123</v>
      </c>
      <c r="F328" s="7" t="s">
        <v>124</v>
      </c>
      <c r="G328" s="7" t="s">
        <v>9</v>
      </c>
      <c r="H328" s="7">
        <v>62</v>
      </c>
      <c r="I328" s="7">
        <v>150</v>
      </c>
      <c r="J328" s="7">
        <v>9300</v>
      </c>
      <c r="K328" s="7">
        <v>4371</v>
      </c>
      <c r="L328" s="7">
        <v>0.47</v>
      </c>
      <c r="M328" s="8" t="s">
        <v>46</v>
      </c>
    </row>
    <row r="329" spans="1:13">
      <c r="A329" s="9" t="s">
        <v>22</v>
      </c>
      <c r="B329" s="10">
        <v>1004</v>
      </c>
      <c r="C329" s="11">
        <v>43937</v>
      </c>
      <c r="D329" s="10" t="s">
        <v>6</v>
      </c>
      <c r="E329" s="11" t="s">
        <v>114</v>
      </c>
      <c r="F329" s="11" t="s">
        <v>115</v>
      </c>
      <c r="G329" s="11" t="s">
        <v>14</v>
      </c>
      <c r="H329" s="11">
        <v>64</v>
      </c>
      <c r="I329" s="11">
        <v>150</v>
      </c>
      <c r="J329" s="11">
        <v>9600</v>
      </c>
      <c r="K329" s="11">
        <v>6144</v>
      </c>
      <c r="L329" s="11">
        <v>0.64</v>
      </c>
      <c r="M329" s="12" t="s">
        <v>46</v>
      </c>
    </row>
    <row r="330" spans="1:13">
      <c r="A330" s="5" t="s">
        <v>22</v>
      </c>
      <c r="B330" s="6">
        <v>1004</v>
      </c>
      <c r="C330" s="7">
        <v>44306</v>
      </c>
      <c r="D330" s="6" t="s">
        <v>4</v>
      </c>
      <c r="E330" s="7" t="s">
        <v>70</v>
      </c>
      <c r="F330" s="7" t="s">
        <v>71</v>
      </c>
      <c r="G330" s="7" t="s">
        <v>10</v>
      </c>
      <c r="H330" s="7">
        <v>18</v>
      </c>
      <c r="I330" s="7">
        <v>79</v>
      </c>
      <c r="J330" s="7">
        <v>1422</v>
      </c>
      <c r="K330" s="7">
        <v>554.58000000000004</v>
      </c>
      <c r="L330" s="7">
        <v>0.39</v>
      </c>
      <c r="M330" s="8" t="s">
        <v>43</v>
      </c>
    </row>
    <row r="331" spans="1:13">
      <c r="A331" s="9" t="s">
        <v>19</v>
      </c>
      <c r="B331" s="10">
        <v>1005</v>
      </c>
      <c r="C331" s="11">
        <v>44241</v>
      </c>
      <c r="D331" s="10" t="s">
        <v>4</v>
      </c>
      <c r="E331" s="11" t="s">
        <v>70</v>
      </c>
      <c r="F331" s="11" t="s">
        <v>71</v>
      </c>
      <c r="G331" s="11" t="s">
        <v>14</v>
      </c>
      <c r="H331" s="11">
        <v>15</v>
      </c>
      <c r="I331" s="11">
        <v>300</v>
      </c>
      <c r="J331" s="11">
        <v>4500</v>
      </c>
      <c r="K331" s="11">
        <v>1575</v>
      </c>
      <c r="L331" s="11">
        <v>0.35</v>
      </c>
      <c r="M331" s="12" t="s">
        <v>46</v>
      </c>
    </row>
    <row r="332" spans="1:13">
      <c r="A332" s="5" t="s">
        <v>20</v>
      </c>
      <c r="B332" s="6">
        <v>1003</v>
      </c>
      <c r="C332" s="7">
        <v>44380</v>
      </c>
      <c r="D332" s="6" t="s">
        <v>3</v>
      </c>
      <c r="E332" s="7" t="s">
        <v>131</v>
      </c>
      <c r="F332" s="7" t="s">
        <v>132</v>
      </c>
      <c r="G332" s="7" t="s">
        <v>14</v>
      </c>
      <c r="H332" s="7">
        <v>44</v>
      </c>
      <c r="I332" s="7">
        <v>81</v>
      </c>
      <c r="J332" s="7">
        <v>3564</v>
      </c>
      <c r="K332" s="7">
        <v>1568.16</v>
      </c>
      <c r="L332" s="7">
        <v>0.44</v>
      </c>
      <c r="M332" s="8" t="s">
        <v>46</v>
      </c>
    </row>
    <row r="333" spans="1:13">
      <c r="A333" s="9" t="s">
        <v>18</v>
      </c>
      <c r="B333" s="10">
        <v>1001</v>
      </c>
      <c r="C333" s="11">
        <v>44382</v>
      </c>
      <c r="D333" s="10" t="s">
        <v>5</v>
      </c>
      <c r="E333" s="11" t="s">
        <v>122</v>
      </c>
      <c r="F333" s="11" t="s">
        <v>113</v>
      </c>
      <c r="G333" s="11" t="s">
        <v>9</v>
      </c>
      <c r="H333" s="11">
        <v>65</v>
      </c>
      <c r="I333" s="11">
        <v>800</v>
      </c>
      <c r="J333" s="11">
        <v>52000</v>
      </c>
      <c r="K333" s="11">
        <v>18200</v>
      </c>
      <c r="L333" s="11">
        <v>0.35</v>
      </c>
      <c r="M333" s="12" t="s">
        <v>46</v>
      </c>
    </row>
    <row r="334" spans="1:13">
      <c r="A334" s="5" t="s">
        <v>17</v>
      </c>
      <c r="B334" s="6">
        <v>1006</v>
      </c>
      <c r="C334" s="7">
        <v>44249</v>
      </c>
      <c r="D334" s="6" t="s">
        <v>2</v>
      </c>
      <c r="E334" s="7" t="s">
        <v>123</v>
      </c>
      <c r="F334" s="7" t="s">
        <v>124</v>
      </c>
      <c r="G334" s="7" t="s">
        <v>10</v>
      </c>
      <c r="H334" s="7">
        <v>40</v>
      </c>
      <c r="I334" s="7">
        <v>200</v>
      </c>
      <c r="J334" s="7">
        <v>8000</v>
      </c>
      <c r="K334" s="7">
        <v>2800</v>
      </c>
      <c r="L334" s="7">
        <v>0.35</v>
      </c>
      <c r="M334" s="8" t="s">
        <v>46</v>
      </c>
    </row>
    <row r="335" spans="1:13">
      <c r="A335" s="9" t="s">
        <v>17</v>
      </c>
      <c r="B335" s="10">
        <v>1006</v>
      </c>
      <c r="C335" s="11">
        <v>44387</v>
      </c>
      <c r="D335" s="10" t="s">
        <v>3</v>
      </c>
      <c r="E335" s="11" t="s">
        <v>49</v>
      </c>
      <c r="F335" s="11" t="s">
        <v>50</v>
      </c>
      <c r="G335" s="11" t="s">
        <v>12</v>
      </c>
      <c r="H335" s="11">
        <v>65</v>
      </c>
      <c r="I335" s="11">
        <v>500</v>
      </c>
      <c r="J335" s="11">
        <v>32500</v>
      </c>
      <c r="K335" s="11">
        <v>13000</v>
      </c>
      <c r="L335" s="11">
        <v>0.4</v>
      </c>
      <c r="M335" s="12" t="s">
        <v>74</v>
      </c>
    </row>
    <row r="336" spans="1:13">
      <c r="A336" s="5" t="s">
        <v>20</v>
      </c>
      <c r="B336" s="6">
        <v>1003</v>
      </c>
      <c r="C336" s="7">
        <v>44329</v>
      </c>
      <c r="D336" s="6" t="s">
        <v>3</v>
      </c>
      <c r="E336" s="7" t="s">
        <v>100</v>
      </c>
      <c r="F336" s="7" t="s">
        <v>101</v>
      </c>
      <c r="G336" s="7" t="s">
        <v>13</v>
      </c>
      <c r="H336" s="7">
        <v>32</v>
      </c>
      <c r="I336" s="7">
        <v>54</v>
      </c>
      <c r="J336" s="7">
        <v>1728</v>
      </c>
      <c r="K336" s="7">
        <v>518.4</v>
      </c>
      <c r="L336" s="7">
        <v>0.3</v>
      </c>
      <c r="M336" s="8" t="s">
        <v>43</v>
      </c>
    </row>
    <row r="337" spans="1:13">
      <c r="A337" s="9" t="s">
        <v>20</v>
      </c>
      <c r="B337" s="10">
        <v>1003</v>
      </c>
      <c r="C337" s="11">
        <v>44213</v>
      </c>
      <c r="D337" s="10" t="s">
        <v>3</v>
      </c>
      <c r="E337" s="11" t="s">
        <v>75</v>
      </c>
      <c r="F337" s="11" t="s">
        <v>76</v>
      </c>
      <c r="G337" s="11" t="s">
        <v>12</v>
      </c>
      <c r="H337" s="11">
        <v>38</v>
      </c>
      <c r="I337" s="11">
        <v>70</v>
      </c>
      <c r="J337" s="11">
        <v>2660</v>
      </c>
      <c r="K337" s="11">
        <v>1090.5999999999999</v>
      </c>
      <c r="L337" s="11">
        <v>0.41</v>
      </c>
      <c r="M337" s="12" t="s">
        <v>46</v>
      </c>
    </row>
    <row r="338" spans="1:13">
      <c r="A338" s="5" t="s">
        <v>18</v>
      </c>
      <c r="B338" s="6">
        <v>1001</v>
      </c>
      <c r="C338" s="7">
        <v>44371</v>
      </c>
      <c r="D338" s="6" t="s">
        <v>2</v>
      </c>
      <c r="E338" s="7" t="s">
        <v>141</v>
      </c>
      <c r="F338" s="7" t="s">
        <v>142</v>
      </c>
      <c r="G338" s="7" t="s">
        <v>11</v>
      </c>
      <c r="H338" s="7">
        <v>58</v>
      </c>
      <c r="I338" s="7">
        <v>134</v>
      </c>
      <c r="J338" s="7">
        <v>7772</v>
      </c>
      <c r="K338" s="7">
        <v>4196.88</v>
      </c>
      <c r="L338" s="7">
        <v>0.54</v>
      </c>
      <c r="M338" s="8" t="s">
        <v>46</v>
      </c>
    </row>
    <row r="339" spans="1:13">
      <c r="A339" s="9" t="s">
        <v>19</v>
      </c>
      <c r="B339" s="10">
        <v>1005</v>
      </c>
      <c r="C339" s="11">
        <v>44359</v>
      </c>
      <c r="D339" s="10" t="s">
        <v>6</v>
      </c>
      <c r="E339" s="11" t="s">
        <v>143</v>
      </c>
      <c r="F339" s="11" t="s">
        <v>144</v>
      </c>
      <c r="G339" s="11" t="s">
        <v>9</v>
      </c>
      <c r="H339" s="11">
        <v>49</v>
      </c>
      <c r="I339" s="11">
        <v>135</v>
      </c>
      <c r="J339" s="11">
        <v>6615</v>
      </c>
      <c r="K339" s="11">
        <v>2910.6</v>
      </c>
      <c r="L339" s="11">
        <v>0.44</v>
      </c>
      <c r="M339" s="12" t="s">
        <v>46</v>
      </c>
    </row>
    <row r="340" spans="1:13">
      <c r="A340" s="5" t="s">
        <v>22</v>
      </c>
      <c r="B340" s="6">
        <v>1004</v>
      </c>
      <c r="C340" s="7">
        <v>44303</v>
      </c>
      <c r="D340" s="6" t="s">
        <v>4</v>
      </c>
      <c r="E340" s="7" t="s">
        <v>53</v>
      </c>
      <c r="F340" s="7" t="s">
        <v>54</v>
      </c>
      <c r="G340" s="7" t="s">
        <v>14</v>
      </c>
      <c r="H340" s="7">
        <v>52</v>
      </c>
      <c r="I340" s="7">
        <v>105</v>
      </c>
      <c r="J340" s="7">
        <v>5460</v>
      </c>
      <c r="K340" s="7">
        <v>2784.6</v>
      </c>
      <c r="L340" s="7">
        <v>0.51</v>
      </c>
      <c r="M340" s="8" t="s">
        <v>46</v>
      </c>
    </row>
    <row r="341" spans="1:13">
      <c r="A341" s="9" t="s">
        <v>22</v>
      </c>
      <c r="B341" s="10">
        <v>1004</v>
      </c>
      <c r="C341" s="11">
        <v>44553</v>
      </c>
      <c r="D341" s="10" t="s">
        <v>6</v>
      </c>
      <c r="E341" s="11" t="s">
        <v>93</v>
      </c>
      <c r="F341" s="11" t="s">
        <v>94</v>
      </c>
      <c r="G341" s="11" t="s">
        <v>9</v>
      </c>
      <c r="H341" s="11">
        <v>54</v>
      </c>
      <c r="I341" s="11">
        <v>157</v>
      </c>
      <c r="J341" s="11">
        <v>8478</v>
      </c>
      <c r="K341" s="11">
        <v>3984.66</v>
      </c>
      <c r="L341" s="11">
        <v>0.47</v>
      </c>
      <c r="M341" s="12" t="s">
        <v>43</v>
      </c>
    </row>
    <row r="342" spans="1:13">
      <c r="A342" s="5" t="s">
        <v>20</v>
      </c>
      <c r="B342" s="6">
        <v>1003</v>
      </c>
      <c r="C342" s="7">
        <v>44257</v>
      </c>
      <c r="D342" s="6" t="s">
        <v>5</v>
      </c>
      <c r="E342" s="7" t="s">
        <v>89</v>
      </c>
      <c r="F342" s="7" t="s">
        <v>90</v>
      </c>
      <c r="G342" s="7" t="s">
        <v>11</v>
      </c>
      <c r="H342" s="7">
        <v>28</v>
      </c>
      <c r="I342" s="7">
        <v>276</v>
      </c>
      <c r="J342" s="7">
        <v>7728</v>
      </c>
      <c r="K342" s="7">
        <v>4173.12</v>
      </c>
      <c r="L342" s="7">
        <v>0.54</v>
      </c>
      <c r="M342" s="8" t="s">
        <v>46</v>
      </c>
    </row>
    <row r="343" spans="1:13">
      <c r="A343" s="9" t="s">
        <v>22</v>
      </c>
      <c r="B343" s="10">
        <v>1004</v>
      </c>
      <c r="C343" s="11">
        <v>44364</v>
      </c>
      <c r="D343" s="10" t="s">
        <v>4</v>
      </c>
      <c r="E343" s="11" t="s">
        <v>53</v>
      </c>
      <c r="F343" s="11" t="s">
        <v>54</v>
      </c>
      <c r="G343" s="11" t="s">
        <v>13</v>
      </c>
      <c r="H343" s="11">
        <v>85</v>
      </c>
      <c r="I343" s="11">
        <v>575</v>
      </c>
      <c r="J343" s="11">
        <v>48875</v>
      </c>
      <c r="K343" s="11">
        <v>19550</v>
      </c>
      <c r="L343" s="11">
        <v>0.4</v>
      </c>
      <c r="M343" s="12" t="s">
        <v>46</v>
      </c>
    </row>
    <row r="344" spans="1:13">
      <c r="A344" s="5" t="s">
        <v>22</v>
      </c>
      <c r="B344" s="6">
        <v>1004</v>
      </c>
      <c r="C344" s="7">
        <v>44275</v>
      </c>
      <c r="D344" s="6" t="s">
        <v>3</v>
      </c>
      <c r="E344" s="7" t="s">
        <v>110</v>
      </c>
      <c r="F344" s="7" t="s">
        <v>111</v>
      </c>
      <c r="G344" s="7" t="s">
        <v>13</v>
      </c>
      <c r="H344" s="7">
        <v>30</v>
      </c>
      <c r="I344" s="7">
        <v>25</v>
      </c>
      <c r="J344" s="7">
        <v>750</v>
      </c>
      <c r="K344" s="7">
        <v>262.5</v>
      </c>
      <c r="L344" s="7">
        <v>0.35</v>
      </c>
      <c r="M344" s="8" t="s">
        <v>74</v>
      </c>
    </row>
    <row r="345" spans="1:13">
      <c r="A345" s="9" t="s">
        <v>18</v>
      </c>
      <c r="B345" s="10">
        <v>1001</v>
      </c>
      <c r="C345" s="11">
        <v>43871</v>
      </c>
      <c r="D345" s="10" t="s">
        <v>3</v>
      </c>
      <c r="E345" s="11" t="s">
        <v>63</v>
      </c>
      <c r="F345" s="11" t="s">
        <v>63</v>
      </c>
      <c r="G345" s="11" t="s">
        <v>9</v>
      </c>
      <c r="H345" s="11">
        <v>47</v>
      </c>
      <c r="I345" s="11">
        <v>280</v>
      </c>
      <c r="J345" s="11">
        <v>13160</v>
      </c>
      <c r="K345" s="11">
        <v>4606</v>
      </c>
      <c r="L345" s="11">
        <v>0.35</v>
      </c>
      <c r="M345" s="12" t="s">
        <v>43</v>
      </c>
    </row>
    <row r="346" spans="1:13">
      <c r="A346" s="5" t="s">
        <v>22</v>
      </c>
      <c r="B346" s="6">
        <v>1004</v>
      </c>
      <c r="C346" s="7">
        <v>44220</v>
      </c>
      <c r="D346" s="6" t="s">
        <v>6</v>
      </c>
      <c r="E346" s="7" t="s">
        <v>41</v>
      </c>
      <c r="F346" s="7" t="s">
        <v>42</v>
      </c>
      <c r="G346" s="7" t="s">
        <v>13</v>
      </c>
      <c r="H346" s="7">
        <v>30</v>
      </c>
      <c r="I346" s="7">
        <v>68</v>
      </c>
      <c r="J346" s="7">
        <v>2040</v>
      </c>
      <c r="K346" s="7">
        <v>775.2</v>
      </c>
      <c r="L346" s="7">
        <v>0.38</v>
      </c>
      <c r="M346" s="8" t="s">
        <v>43</v>
      </c>
    </row>
    <row r="347" spans="1:13">
      <c r="A347" s="9" t="s">
        <v>20</v>
      </c>
      <c r="B347" s="10">
        <v>1003</v>
      </c>
      <c r="C347" s="11">
        <v>44473</v>
      </c>
      <c r="D347" s="10" t="s">
        <v>6</v>
      </c>
      <c r="E347" s="11" t="s">
        <v>120</v>
      </c>
      <c r="F347" s="11" t="s">
        <v>121</v>
      </c>
      <c r="G347" s="11" t="s">
        <v>9</v>
      </c>
      <c r="H347" s="11">
        <v>32</v>
      </c>
      <c r="I347" s="11">
        <v>91</v>
      </c>
      <c r="J347" s="11">
        <v>2912</v>
      </c>
      <c r="K347" s="11">
        <v>1397.76</v>
      </c>
      <c r="L347" s="11">
        <v>0.48</v>
      </c>
      <c r="M347" s="12" t="s">
        <v>46</v>
      </c>
    </row>
    <row r="348" spans="1:13">
      <c r="A348" s="5" t="s">
        <v>18</v>
      </c>
      <c r="B348" s="6">
        <v>1001</v>
      </c>
      <c r="C348" s="7">
        <v>44329</v>
      </c>
      <c r="D348" s="6" t="s">
        <v>2</v>
      </c>
      <c r="E348" s="7" t="s">
        <v>51</v>
      </c>
      <c r="F348" s="7" t="s">
        <v>52</v>
      </c>
      <c r="G348" s="7" t="s">
        <v>14</v>
      </c>
      <c r="H348" s="7">
        <v>43</v>
      </c>
      <c r="I348" s="7">
        <v>46</v>
      </c>
      <c r="J348" s="7">
        <v>1978</v>
      </c>
      <c r="K348" s="7">
        <v>830.76</v>
      </c>
      <c r="L348" s="7">
        <v>0.42</v>
      </c>
      <c r="M348" s="8" t="s">
        <v>46</v>
      </c>
    </row>
    <row r="349" spans="1:13">
      <c r="A349" s="9" t="s">
        <v>19</v>
      </c>
      <c r="B349" s="10">
        <v>1005</v>
      </c>
      <c r="C349" s="11">
        <v>44336</v>
      </c>
      <c r="D349" s="10" t="s">
        <v>6</v>
      </c>
      <c r="E349" s="11" t="s">
        <v>125</v>
      </c>
      <c r="F349" s="11" t="s">
        <v>133</v>
      </c>
      <c r="G349" s="11" t="s">
        <v>10</v>
      </c>
      <c r="H349" s="11">
        <v>54</v>
      </c>
      <c r="I349" s="11">
        <v>215</v>
      </c>
      <c r="J349" s="11">
        <v>11610</v>
      </c>
      <c r="K349" s="11">
        <v>4411.8</v>
      </c>
      <c r="L349" s="11">
        <v>0.38</v>
      </c>
      <c r="M349" s="12" t="s">
        <v>46</v>
      </c>
    </row>
    <row r="350" spans="1:13">
      <c r="A350" s="5" t="s">
        <v>18</v>
      </c>
      <c r="B350" s="6">
        <v>1001</v>
      </c>
      <c r="C350" s="7">
        <v>44251</v>
      </c>
      <c r="D350" s="6" t="s">
        <v>5</v>
      </c>
      <c r="E350" s="7" t="s">
        <v>59</v>
      </c>
      <c r="F350" s="7" t="s">
        <v>60</v>
      </c>
      <c r="G350" s="7" t="s">
        <v>9</v>
      </c>
      <c r="H350" s="7">
        <v>29</v>
      </c>
      <c r="I350" s="7">
        <v>39</v>
      </c>
      <c r="J350" s="7">
        <v>1131</v>
      </c>
      <c r="K350" s="7">
        <v>508.95</v>
      </c>
      <c r="L350" s="7">
        <v>0.45</v>
      </c>
      <c r="M350" s="8" t="s">
        <v>43</v>
      </c>
    </row>
    <row r="351" spans="1:13">
      <c r="A351" s="9" t="s">
        <v>18</v>
      </c>
      <c r="B351" s="10">
        <v>1001</v>
      </c>
      <c r="C351" s="11">
        <v>44542</v>
      </c>
      <c r="D351" s="10" t="s">
        <v>5</v>
      </c>
      <c r="E351" s="11" t="s">
        <v>57</v>
      </c>
      <c r="F351" s="11" t="s">
        <v>58</v>
      </c>
      <c r="G351" s="11" t="s">
        <v>13</v>
      </c>
      <c r="H351" s="11">
        <v>51</v>
      </c>
      <c r="I351" s="11">
        <v>128</v>
      </c>
      <c r="J351" s="11">
        <v>6528</v>
      </c>
      <c r="K351" s="11">
        <v>3264</v>
      </c>
      <c r="L351" s="11">
        <v>0.5</v>
      </c>
      <c r="M351" s="12" t="s">
        <v>46</v>
      </c>
    </row>
    <row r="352" spans="1:13">
      <c r="A352" s="5" t="s">
        <v>22</v>
      </c>
      <c r="B352" s="6">
        <v>1004</v>
      </c>
      <c r="C352" s="7">
        <v>44540</v>
      </c>
      <c r="D352" s="6" t="s">
        <v>6</v>
      </c>
      <c r="E352" s="7" t="s">
        <v>41</v>
      </c>
      <c r="F352" s="7" t="s">
        <v>42</v>
      </c>
      <c r="G352" s="7" t="s">
        <v>9</v>
      </c>
      <c r="H352" s="7">
        <v>38</v>
      </c>
      <c r="I352" s="7">
        <v>112</v>
      </c>
      <c r="J352" s="7">
        <v>4256</v>
      </c>
      <c r="K352" s="7">
        <v>2128</v>
      </c>
      <c r="L352" s="7">
        <v>0.5</v>
      </c>
      <c r="M352" s="8" t="s">
        <v>46</v>
      </c>
    </row>
    <row r="353" spans="1:13">
      <c r="A353" s="9" t="s">
        <v>22</v>
      </c>
      <c r="B353" s="10">
        <v>1004</v>
      </c>
      <c r="C353" s="11">
        <v>44364</v>
      </c>
      <c r="D353" s="10" t="s">
        <v>4</v>
      </c>
      <c r="E353" s="11" t="s">
        <v>53</v>
      </c>
      <c r="F353" s="11" t="s">
        <v>54</v>
      </c>
      <c r="G353" s="11" t="s">
        <v>12</v>
      </c>
      <c r="H353" s="11">
        <v>80</v>
      </c>
      <c r="I353" s="11">
        <v>248</v>
      </c>
      <c r="J353" s="11">
        <v>19840</v>
      </c>
      <c r="K353" s="11">
        <v>8134.4</v>
      </c>
      <c r="L353" s="11">
        <v>0.41</v>
      </c>
      <c r="M353" s="12" t="s">
        <v>43</v>
      </c>
    </row>
    <row r="354" spans="1:13">
      <c r="A354" s="5" t="s">
        <v>17</v>
      </c>
      <c r="B354" s="6">
        <v>1006</v>
      </c>
      <c r="C354" s="7">
        <v>44510</v>
      </c>
      <c r="D354" s="6" t="s">
        <v>2</v>
      </c>
      <c r="E354" s="7" t="s">
        <v>123</v>
      </c>
      <c r="F354" s="7" t="s">
        <v>124</v>
      </c>
      <c r="G354" s="7" t="s">
        <v>10</v>
      </c>
      <c r="H354" s="7">
        <v>25</v>
      </c>
      <c r="I354" s="7">
        <v>500</v>
      </c>
      <c r="J354" s="7">
        <v>12500</v>
      </c>
      <c r="K354" s="7">
        <v>4375</v>
      </c>
      <c r="L354" s="7">
        <v>0.35</v>
      </c>
      <c r="M354" s="8" t="s">
        <v>46</v>
      </c>
    </row>
    <row r="355" spans="1:13">
      <c r="A355" s="9" t="s">
        <v>18</v>
      </c>
      <c r="B355" s="10">
        <v>1001</v>
      </c>
      <c r="C355" s="11">
        <v>44329</v>
      </c>
      <c r="D355" s="10" t="s">
        <v>3</v>
      </c>
      <c r="E355" s="11" t="s">
        <v>129</v>
      </c>
      <c r="F355" s="11" t="s">
        <v>130</v>
      </c>
      <c r="G355" s="11" t="s">
        <v>11</v>
      </c>
      <c r="H355" s="11">
        <v>55</v>
      </c>
      <c r="I355" s="11">
        <v>570</v>
      </c>
      <c r="J355" s="11">
        <v>31350</v>
      </c>
      <c r="K355" s="11">
        <v>10972.5</v>
      </c>
      <c r="L355" s="11">
        <v>0.35</v>
      </c>
      <c r="M355" s="12" t="s">
        <v>74</v>
      </c>
    </row>
    <row r="356" spans="1:13">
      <c r="A356" s="5" t="s">
        <v>18</v>
      </c>
      <c r="B356" s="6">
        <v>1001</v>
      </c>
      <c r="C356" s="7">
        <v>43900</v>
      </c>
      <c r="D356" s="6" t="s">
        <v>3</v>
      </c>
      <c r="E356" s="7" t="s">
        <v>63</v>
      </c>
      <c r="F356" s="7" t="s">
        <v>63</v>
      </c>
      <c r="G356" s="7" t="s">
        <v>11</v>
      </c>
      <c r="H356" s="7">
        <v>60</v>
      </c>
      <c r="I356" s="7">
        <v>1275</v>
      </c>
      <c r="J356" s="7">
        <v>76500</v>
      </c>
      <c r="K356" s="7">
        <v>38250</v>
      </c>
      <c r="L356" s="7">
        <v>0.5</v>
      </c>
      <c r="M356" s="8" t="s">
        <v>43</v>
      </c>
    </row>
    <row r="357" spans="1:13">
      <c r="A357" s="9" t="s">
        <v>22</v>
      </c>
      <c r="B357" s="10">
        <v>1004</v>
      </c>
      <c r="C357" s="11">
        <v>43903</v>
      </c>
      <c r="D357" s="10" t="s">
        <v>6</v>
      </c>
      <c r="E357" s="11" t="s">
        <v>87</v>
      </c>
      <c r="F357" s="11" t="s">
        <v>88</v>
      </c>
      <c r="G357" s="11" t="s">
        <v>9</v>
      </c>
      <c r="H357" s="11">
        <v>49</v>
      </c>
      <c r="I357" s="11">
        <v>136</v>
      </c>
      <c r="J357" s="11">
        <v>6664</v>
      </c>
      <c r="K357" s="11">
        <v>3598.56</v>
      </c>
      <c r="L357" s="11">
        <v>0.54000000000000015</v>
      </c>
      <c r="M357" s="12" t="s">
        <v>43</v>
      </c>
    </row>
    <row r="358" spans="1:13">
      <c r="A358" s="5" t="s">
        <v>21</v>
      </c>
      <c r="B358" s="6">
        <v>1002</v>
      </c>
      <c r="C358" s="7">
        <v>44131</v>
      </c>
      <c r="D358" s="6" t="s">
        <v>4</v>
      </c>
      <c r="E358" s="7" t="s">
        <v>64</v>
      </c>
      <c r="F358" s="7" t="s">
        <v>78</v>
      </c>
      <c r="G358" s="7" t="s">
        <v>10</v>
      </c>
      <c r="H358" s="7">
        <v>44</v>
      </c>
      <c r="I358" s="7">
        <v>285</v>
      </c>
      <c r="J358" s="7">
        <v>12540</v>
      </c>
      <c r="K358" s="7">
        <v>6019.2</v>
      </c>
      <c r="L358" s="7">
        <v>0.48</v>
      </c>
      <c r="M358" s="8" t="s">
        <v>46</v>
      </c>
    </row>
    <row r="359" spans="1:13">
      <c r="A359" s="9" t="s">
        <v>17</v>
      </c>
      <c r="B359" s="10">
        <v>1006</v>
      </c>
      <c r="C359" s="11">
        <v>44462</v>
      </c>
      <c r="D359" s="10" t="s">
        <v>5</v>
      </c>
      <c r="E359" s="11" t="s">
        <v>44</v>
      </c>
      <c r="F359" s="11" t="s">
        <v>45</v>
      </c>
      <c r="G359" s="11" t="s">
        <v>13</v>
      </c>
      <c r="H359" s="11">
        <v>32</v>
      </c>
      <c r="I359" s="11">
        <v>54</v>
      </c>
      <c r="J359" s="11">
        <v>1728</v>
      </c>
      <c r="K359" s="11">
        <v>881.28</v>
      </c>
      <c r="L359" s="11">
        <v>0.51</v>
      </c>
      <c r="M359" s="12" t="s">
        <v>46</v>
      </c>
    </row>
    <row r="360" spans="1:13">
      <c r="A360" s="5" t="s">
        <v>19</v>
      </c>
      <c r="B360" s="6">
        <v>1005</v>
      </c>
      <c r="C360" s="7">
        <v>44495</v>
      </c>
      <c r="D360" s="6" t="s">
        <v>6</v>
      </c>
      <c r="E360" s="7" t="s">
        <v>83</v>
      </c>
      <c r="F360" s="7" t="s">
        <v>84</v>
      </c>
      <c r="G360" s="7" t="s">
        <v>13</v>
      </c>
      <c r="H360" s="7">
        <v>35</v>
      </c>
      <c r="I360" s="7">
        <v>112</v>
      </c>
      <c r="J360" s="7">
        <v>3920</v>
      </c>
      <c r="K360" s="7">
        <v>1646.4</v>
      </c>
      <c r="L360" s="7">
        <v>0.42</v>
      </c>
      <c r="M360" s="8" t="s">
        <v>43</v>
      </c>
    </row>
    <row r="361" spans="1:13">
      <c r="A361" s="9" t="s">
        <v>19</v>
      </c>
      <c r="B361" s="10">
        <v>1005</v>
      </c>
      <c r="C361" s="11">
        <v>44331</v>
      </c>
      <c r="D361" s="10" t="s">
        <v>6</v>
      </c>
      <c r="E361" s="11" t="s">
        <v>125</v>
      </c>
      <c r="F361" s="11" t="s">
        <v>133</v>
      </c>
      <c r="G361" s="11" t="s">
        <v>14</v>
      </c>
      <c r="H361" s="11">
        <v>49</v>
      </c>
      <c r="I361" s="11">
        <v>176</v>
      </c>
      <c r="J361" s="11">
        <v>8624</v>
      </c>
      <c r="K361" s="11">
        <v>4398.24</v>
      </c>
      <c r="L361" s="11">
        <v>0.51</v>
      </c>
      <c r="M361" s="12" t="s">
        <v>46</v>
      </c>
    </row>
    <row r="362" spans="1:13">
      <c r="A362" s="5" t="s">
        <v>18</v>
      </c>
      <c r="B362" s="6">
        <v>1001</v>
      </c>
      <c r="C362" s="7">
        <v>44415</v>
      </c>
      <c r="D362" s="6" t="s">
        <v>3</v>
      </c>
      <c r="E362" s="7" t="s">
        <v>75</v>
      </c>
      <c r="F362" s="7" t="s">
        <v>76</v>
      </c>
      <c r="G362" s="7" t="s">
        <v>12</v>
      </c>
      <c r="H362" s="7">
        <v>52</v>
      </c>
      <c r="I362" s="7">
        <v>87</v>
      </c>
      <c r="J362" s="7">
        <v>4524</v>
      </c>
      <c r="K362" s="7">
        <v>2442.96</v>
      </c>
      <c r="L362" s="7">
        <v>0.54</v>
      </c>
      <c r="M362" s="8" t="s">
        <v>46</v>
      </c>
    </row>
    <row r="363" spans="1:13">
      <c r="A363" s="9" t="s">
        <v>20</v>
      </c>
      <c r="B363" s="10">
        <v>1003</v>
      </c>
      <c r="C363" s="11">
        <v>44351</v>
      </c>
      <c r="D363" s="10" t="s">
        <v>5</v>
      </c>
      <c r="E363" s="11" t="s">
        <v>89</v>
      </c>
      <c r="F363" s="11" t="s">
        <v>90</v>
      </c>
      <c r="G363" s="11" t="s">
        <v>9</v>
      </c>
      <c r="H363" s="11">
        <v>61</v>
      </c>
      <c r="I363" s="11">
        <v>163</v>
      </c>
      <c r="J363" s="11">
        <v>9943</v>
      </c>
      <c r="K363" s="11">
        <v>4872.07</v>
      </c>
      <c r="L363" s="11">
        <v>0.49</v>
      </c>
      <c r="M363" s="12" t="s">
        <v>46</v>
      </c>
    </row>
    <row r="364" spans="1:13">
      <c r="A364" s="5" t="s">
        <v>20</v>
      </c>
      <c r="B364" s="6">
        <v>1003</v>
      </c>
      <c r="C364" s="7">
        <v>44295</v>
      </c>
      <c r="D364" s="6" t="s">
        <v>2</v>
      </c>
      <c r="E364" s="7" t="s">
        <v>68</v>
      </c>
      <c r="F364" s="7" t="s">
        <v>69</v>
      </c>
      <c r="G364" s="7" t="s">
        <v>10</v>
      </c>
      <c r="H364" s="7">
        <v>28</v>
      </c>
      <c r="I364" s="7">
        <v>44</v>
      </c>
      <c r="J364" s="7">
        <v>1232</v>
      </c>
      <c r="K364" s="7">
        <v>529.76</v>
      </c>
      <c r="L364" s="7">
        <v>0.43</v>
      </c>
      <c r="M364" s="8" t="s">
        <v>46</v>
      </c>
    </row>
    <row r="365" spans="1:13">
      <c r="A365" s="9" t="s">
        <v>20</v>
      </c>
      <c r="B365" s="10">
        <v>1003</v>
      </c>
      <c r="C365" s="11">
        <v>44453</v>
      </c>
      <c r="D365" s="10" t="s">
        <v>5</v>
      </c>
      <c r="E365" s="11" t="s">
        <v>57</v>
      </c>
      <c r="F365" s="11" t="s">
        <v>58</v>
      </c>
      <c r="G365" s="11" t="s">
        <v>10</v>
      </c>
      <c r="H365" s="11">
        <v>50</v>
      </c>
      <c r="I365" s="11">
        <v>600</v>
      </c>
      <c r="J365" s="11">
        <v>30000</v>
      </c>
      <c r="K365" s="11">
        <v>12000</v>
      </c>
      <c r="L365" s="11">
        <v>0.4</v>
      </c>
      <c r="M365" s="12" t="s">
        <v>46</v>
      </c>
    </row>
    <row r="366" spans="1:13">
      <c r="A366" s="5" t="s">
        <v>20</v>
      </c>
      <c r="B366" s="6">
        <v>1003</v>
      </c>
      <c r="C366" s="7">
        <v>44310</v>
      </c>
      <c r="D366" s="6" t="s">
        <v>4</v>
      </c>
      <c r="E366" s="7" t="s">
        <v>104</v>
      </c>
      <c r="F366" s="7" t="s">
        <v>105</v>
      </c>
      <c r="G366" s="7" t="s">
        <v>13</v>
      </c>
      <c r="H366" s="7">
        <v>42</v>
      </c>
      <c r="I366" s="7">
        <v>133</v>
      </c>
      <c r="J366" s="7">
        <v>5586</v>
      </c>
      <c r="K366" s="7">
        <v>3854.34</v>
      </c>
      <c r="L366" s="7">
        <v>0.69000000000000006</v>
      </c>
      <c r="M366" s="8" t="s">
        <v>46</v>
      </c>
    </row>
    <row r="367" spans="1:13">
      <c r="A367" s="9" t="s">
        <v>22</v>
      </c>
      <c r="B367" s="10">
        <v>1004</v>
      </c>
      <c r="C367" s="11">
        <v>44396</v>
      </c>
      <c r="D367" s="10" t="s">
        <v>4</v>
      </c>
      <c r="E367" s="11" t="s">
        <v>70</v>
      </c>
      <c r="F367" s="11" t="s">
        <v>71</v>
      </c>
      <c r="G367" s="11" t="s">
        <v>14</v>
      </c>
      <c r="H367" s="11">
        <v>44</v>
      </c>
      <c r="I367" s="11">
        <v>94</v>
      </c>
      <c r="J367" s="11">
        <v>4136</v>
      </c>
      <c r="K367" s="11">
        <v>2233.44</v>
      </c>
      <c r="L367" s="11">
        <v>0.54</v>
      </c>
      <c r="M367" s="12" t="s">
        <v>46</v>
      </c>
    </row>
    <row r="368" spans="1:13">
      <c r="A368" s="5" t="s">
        <v>17</v>
      </c>
      <c r="B368" s="6">
        <v>1006</v>
      </c>
      <c r="C368" s="7">
        <v>44397</v>
      </c>
      <c r="D368" s="6" t="s">
        <v>6</v>
      </c>
      <c r="E368" s="7" t="s">
        <v>108</v>
      </c>
      <c r="F368" s="7" t="s">
        <v>109</v>
      </c>
      <c r="G368" s="7" t="s">
        <v>13</v>
      </c>
      <c r="H368" s="7">
        <v>51</v>
      </c>
      <c r="I368" s="7">
        <v>75</v>
      </c>
      <c r="J368" s="7">
        <v>3825</v>
      </c>
      <c r="K368" s="7">
        <v>1453.5</v>
      </c>
      <c r="L368" s="7">
        <v>0.38</v>
      </c>
      <c r="M368" s="8" t="s">
        <v>46</v>
      </c>
    </row>
    <row r="369" spans="1:13">
      <c r="A369" s="9" t="s">
        <v>18</v>
      </c>
      <c r="B369" s="10">
        <v>1001</v>
      </c>
      <c r="C369" s="11">
        <v>44493</v>
      </c>
      <c r="D369" s="10" t="s">
        <v>4</v>
      </c>
      <c r="E369" s="11" t="s">
        <v>64</v>
      </c>
      <c r="F369" s="11" t="s">
        <v>65</v>
      </c>
      <c r="G369" s="11" t="s">
        <v>14</v>
      </c>
      <c r="H369" s="11">
        <v>28</v>
      </c>
      <c r="I369" s="11">
        <v>72</v>
      </c>
      <c r="J369" s="11">
        <v>2016</v>
      </c>
      <c r="K369" s="11">
        <v>846.72</v>
      </c>
      <c r="L369" s="11">
        <v>0.42</v>
      </c>
      <c r="M369" s="12" t="s">
        <v>43</v>
      </c>
    </row>
    <row r="370" spans="1:13">
      <c r="A370" s="5" t="s">
        <v>22</v>
      </c>
      <c r="B370" s="6">
        <v>1004</v>
      </c>
      <c r="C370" s="7">
        <v>43934</v>
      </c>
      <c r="D370" s="6" t="s">
        <v>6</v>
      </c>
      <c r="E370" s="7" t="s">
        <v>114</v>
      </c>
      <c r="F370" s="7" t="s">
        <v>115</v>
      </c>
      <c r="G370" s="7" t="s">
        <v>12</v>
      </c>
      <c r="H370" s="7">
        <v>80</v>
      </c>
      <c r="I370" s="7">
        <v>475</v>
      </c>
      <c r="J370" s="7">
        <v>38000</v>
      </c>
      <c r="K370" s="7">
        <v>11400</v>
      </c>
      <c r="L370" s="7">
        <v>0.3</v>
      </c>
      <c r="M370" s="8" t="s">
        <v>74</v>
      </c>
    </row>
    <row r="371" spans="1:13">
      <c r="A371" s="9" t="s">
        <v>22</v>
      </c>
      <c r="B371" s="10">
        <v>1004</v>
      </c>
      <c r="C371" s="11">
        <v>44506</v>
      </c>
      <c r="D371" s="10" t="s">
        <v>2</v>
      </c>
      <c r="E371" s="11" t="s">
        <v>138</v>
      </c>
      <c r="F371" s="11" t="s">
        <v>139</v>
      </c>
      <c r="G371" s="11" t="s">
        <v>11</v>
      </c>
      <c r="H371" s="11">
        <v>45</v>
      </c>
      <c r="I371" s="11">
        <v>400</v>
      </c>
      <c r="J371" s="11">
        <v>18000</v>
      </c>
      <c r="K371" s="11">
        <v>5400</v>
      </c>
      <c r="L371" s="11">
        <v>0.3</v>
      </c>
      <c r="M371" s="12" t="s">
        <v>74</v>
      </c>
    </row>
    <row r="372" spans="1:13">
      <c r="A372" s="5" t="s">
        <v>18</v>
      </c>
      <c r="B372" s="6">
        <v>1001</v>
      </c>
      <c r="C372" s="7">
        <v>43868</v>
      </c>
      <c r="D372" s="6" t="s">
        <v>3</v>
      </c>
      <c r="E372" s="7" t="s">
        <v>63</v>
      </c>
      <c r="F372" s="7" t="s">
        <v>63</v>
      </c>
      <c r="G372" s="7" t="s">
        <v>10</v>
      </c>
      <c r="H372" s="7">
        <v>50</v>
      </c>
      <c r="I372" s="7">
        <v>259</v>
      </c>
      <c r="J372" s="7">
        <v>12950</v>
      </c>
      <c r="K372" s="7">
        <v>5180</v>
      </c>
      <c r="L372" s="7">
        <v>0.4</v>
      </c>
      <c r="M372" s="8" t="s">
        <v>46</v>
      </c>
    </row>
    <row r="373" spans="1:13">
      <c r="A373" s="9" t="s">
        <v>21</v>
      </c>
      <c r="B373" s="10">
        <v>1002</v>
      </c>
      <c r="C373" s="11">
        <v>44126</v>
      </c>
      <c r="D373" s="10" t="s">
        <v>4</v>
      </c>
      <c r="E373" s="11" t="s">
        <v>64</v>
      </c>
      <c r="F373" s="11" t="s">
        <v>78</v>
      </c>
      <c r="G373" s="11" t="s">
        <v>14</v>
      </c>
      <c r="H373" s="11">
        <v>34</v>
      </c>
      <c r="I373" s="11">
        <v>281</v>
      </c>
      <c r="J373" s="11">
        <v>9554</v>
      </c>
      <c r="K373" s="11">
        <v>3726.06</v>
      </c>
      <c r="L373" s="11">
        <v>0.39</v>
      </c>
      <c r="M373" s="12" t="s">
        <v>43</v>
      </c>
    </row>
    <row r="374" spans="1:13">
      <c r="A374" s="5" t="s">
        <v>18</v>
      </c>
      <c r="B374" s="6">
        <v>1001</v>
      </c>
      <c r="C374" s="7">
        <v>44355</v>
      </c>
      <c r="D374" s="6" t="s">
        <v>3</v>
      </c>
      <c r="E374" s="7" t="s">
        <v>75</v>
      </c>
      <c r="F374" s="7" t="s">
        <v>76</v>
      </c>
      <c r="G374" s="7" t="s">
        <v>13</v>
      </c>
      <c r="H374" s="7">
        <v>26</v>
      </c>
      <c r="I374" s="7">
        <v>70</v>
      </c>
      <c r="J374" s="7">
        <v>1820</v>
      </c>
      <c r="K374" s="7">
        <v>837.2</v>
      </c>
      <c r="L374" s="7">
        <v>0.46</v>
      </c>
      <c r="M374" s="8" t="s">
        <v>43</v>
      </c>
    </row>
    <row r="375" spans="1:13">
      <c r="A375" s="9" t="s">
        <v>22</v>
      </c>
      <c r="B375" s="10">
        <v>1004</v>
      </c>
      <c r="C375" s="11">
        <v>44486</v>
      </c>
      <c r="D375" s="10" t="s">
        <v>3</v>
      </c>
      <c r="E375" s="11" t="s">
        <v>112</v>
      </c>
      <c r="F375" s="11" t="s">
        <v>113</v>
      </c>
      <c r="G375" s="11" t="s">
        <v>13</v>
      </c>
      <c r="H375" s="11">
        <v>32</v>
      </c>
      <c r="I375" s="11">
        <v>47</v>
      </c>
      <c r="J375" s="11">
        <v>1504</v>
      </c>
      <c r="K375" s="11">
        <v>797.12</v>
      </c>
      <c r="L375" s="11">
        <v>0.53</v>
      </c>
      <c r="M375" s="12" t="s">
        <v>46</v>
      </c>
    </row>
    <row r="376" spans="1:13">
      <c r="A376" s="5" t="s">
        <v>20</v>
      </c>
      <c r="B376" s="6">
        <v>1003</v>
      </c>
      <c r="C376" s="7">
        <v>44555</v>
      </c>
      <c r="D376" s="6" t="s">
        <v>6</v>
      </c>
      <c r="E376" s="7" t="s">
        <v>83</v>
      </c>
      <c r="F376" s="7" t="s">
        <v>84</v>
      </c>
      <c r="G376" s="7" t="s">
        <v>14</v>
      </c>
      <c r="H376" s="7">
        <v>60</v>
      </c>
      <c r="I376" s="7">
        <v>500</v>
      </c>
      <c r="J376" s="7">
        <v>30000</v>
      </c>
      <c r="K376" s="7">
        <v>10500</v>
      </c>
      <c r="L376" s="7">
        <v>0.35</v>
      </c>
      <c r="M376" s="8" t="s">
        <v>46</v>
      </c>
    </row>
    <row r="377" spans="1:13">
      <c r="A377" s="9" t="s">
        <v>20</v>
      </c>
      <c r="B377" s="10">
        <v>1003</v>
      </c>
      <c r="C377" s="11">
        <v>44507</v>
      </c>
      <c r="D377" s="10" t="s">
        <v>3</v>
      </c>
      <c r="E377" s="11" t="s">
        <v>75</v>
      </c>
      <c r="F377" s="11" t="s">
        <v>76</v>
      </c>
      <c r="G377" s="11" t="s">
        <v>12</v>
      </c>
      <c r="H377" s="11">
        <v>65</v>
      </c>
      <c r="I377" s="11">
        <v>275</v>
      </c>
      <c r="J377" s="11">
        <v>17875</v>
      </c>
      <c r="K377" s="11">
        <v>7150</v>
      </c>
      <c r="L377" s="11">
        <v>0.4</v>
      </c>
      <c r="M377" s="12" t="s">
        <v>74</v>
      </c>
    </row>
    <row r="378" spans="1:13">
      <c r="A378" s="5" t="s">
        <v>20</v>
      </c>
      <c r="B378" s="6">
        <v>1003</v>
      </c>
      <c r="C378" s="7">
        <v>44476</v>
      </c>
      <c r="D378" s="6" t="s">
        <v>4</v>
      </c>
      <c r="E378" s="7" t="s">
        <v>64</v>
      </c>
      <c r="F378" s="7" t="s">
        <v>65</v>
      </c>
      <c r="G378" s="7" t="s">
        <v>13</v>
      </c>
      <c r="H378" s="7">
        <v>45</v>
      </c>
      <c r="I378" s="7">
        <v>425</v>
      </c>
      <c r="J378" s="7">
        <v>19125</v>
      </c>
      <c r="K378" s="7">
        <v>9562.5</v>
      </c>
      <c r="L378" s="7">
        <v>0.5</v>
      </c>
      <c r="M378" s="8" t="s">
        <v>43</v>
      </c>
    </row>
    <row r="379" spans="1:13">
      <c r="A379" s="9" t="s">
        <v>22</v>
      </c>
      <c r="B379" s="10">
        <v>1004</v>
      </c>
      <c r="C379" s="11">
        <v>44479</v>
      </c>
      <c r="D379" s="10" t="s">
        <v>2</v>
      </c>
      <c r="E379" s="11" t="s">
        <v>102</v>
      </c>
      <c r="F379" s="11" t="s">
        <v>103</v>
      </c>
      <c r="G379" s="11" t="s">
        <v>13</v>
      </c>
      <c r="H379" s="11">
        <v>35</v>
      </c>
      <c r="I379" s="11">
        <v>150</v>
      </c>
      <c r="J379" s="11">
        <v>5250</v>
      </c>
      <c r="K379" s="11">
        <v>1837.5</v>
      </c>
      <c r="L379" s="11">
        <v>0.35</v>
      </c>
      <c r="M379" s="12" t="s">
        <v>74</v>
      </c>
    </row>
    <row r="380" spans="1:13">
      <c r="A380" s="5" t="s">
        <v>22</v>
      </c>
      <c r="B380" s="6">
        <v>1004</v>
      </c>
      <c r="C380" s="7">
        <v>43943</v>
      </c>
      <c r="D380" s="6" t="s">
        <v>6</v>
      </c>
      <c r="E380" s="7" t="s">
        <v>114</v>
      </c>
      <c r="F380" s="7" t="s">
        <v>115</v>
      </c>
      <c r="G380" s="7" t="s">
        <v>14</v>
      </c>
      <c r="H380" s="7">
        <v>67</v>
      </c>
      <c r="I380" s="7">
        <v>161</v>
      </c>
      <c r="J380" s="7">
        <v>10787</v>
      </c>
      <c r="K380" s="7">
        <v>5932.85</v>
      </c>
      <c r="L380" s="7">
        <v>0.55000000000000004</v>
      </c>
      <c r="M380" s="8" t="s">
        <v>46</v>
      </c>
    </row>
    <row r="381" spans="1:13">
      <c r="A381" s="9" t="s">
        <v>17</v>
      </c>
      <c r="B381" s="10">
        <v>1006</v>
      </c>
      <c r="C381" s="11">
        <v>44210</v>
      </c>
      <c r="D381" s="10" t="s">
        <v>3</v>
      </c>
      <c r="E381" s="11" t="s">
        <v>100</v>
      </c>
      <c r="F381" s="11" t="s">
        <v>101</v>
      </c>
      <c r="G381" s="11" t="s">
        <v>10</v>
      </c>
      <c r="H381" s="11">
        <v>45</v>
      </c>
      <c r="I381" s="11">
        <v>325</v>
      </c>
      <c r="J381" s="11">
        <v>14625</v>
      </c>
      <c r="K381" s="11">
        <v>6581.25</v>
      </c>
      <c r="L381" s="11">
        <v>0.45</v>
      </c>
      <c r="M381" s="12" t="s">
        <v>74</v>
      </c>
    </row>
    <row r="382" spans="1:13">
      <c r="A382" s="5" t="s">
        <v>22</v>
      </c>
      <c r="B382" s="6">
        <v>1004</v>
      </c>
      <c r="C382" s="7">
        <v>44248</v>
      </c>
      <c r="D382" s="6" t="s">
        <v>4</v>
      </c>
      <c r="E382" s="7" t="s">
        <v>79</v>
      </c>
      <c r="F382" s="7" t="s">
        <v>80</v>
      </c>
      <c r="G382" s="7" t="s">
        <v>10</v>
      </c>
      <c r="H382" s="7">
        <v>17</v>
      </c>
      <c r="I382" s="7">
        <v>83</v>
      </c>
      <c r="J382" s="7">
        <v>1411</v>
      </c>
      <c r="K382" s="7">
        <v>550.29</v>
      </c>
      <c r="L382" s="7">
        <v>0.39</v>
      </c>
      <c r="M382" s="8" t="s">
        <v>43</v>
      </c>
    </row>
    <row r="383" spans="1:13">
      <c r="A383" s="9" t="s">
        <v>18</v>
      </c>
      <c r="B383" s="10">
        <v>1001</v>
      </c>
      <c r="C383" s="11">
        <v>44521</v>
      </c>
      <c r="D383" s="10" t="s">
        <v>3</v>
      </c>
      <c r="E383" s="11" t="s">
        <v>81</v>
      </c>
      <c r="F383" s="11" t="s">
        <v>82</v>
      </c>
      <c r="G383" s="11" t="s">
        <v>11</v>
      </c>
      <c r="H383" s="11">
        <v>65</v>
      </c>
      <c r="I383" s="11">
        <v>500</v>
      </c>
      <c r="J383" s="11">
        <v>32500</v>
      </c>
      <c r="K383" s="11">
        <v>17875</v>
      </c>
      <c r="L383" s="11">
        <v>0.55000000000000004</v>
      </c>
      <c r="M383" s="12" t="s">
        <v>43</v>
      </c>
    </row>
    <row r="384" spans="1:13">
      <c r="A384" s="5" t="s">
        <v>17</v>
      </c>
      <c r="B384" s="6">
        <v>1006</v>
      </c>
      <c r="C384" s="7">
        <v>44518</v>
      </c>
      <c r="D384" s="6" t="s">
        <v>3</v>
      </c>
      <c r="E384" s="7" t="s">
        <v>95</v>
      </c>
      <c r="F384" s="7" t="s">
        <v>94</v>
      </c>
      <c r="G384" s="7" t="s">
        <v>10</v>
      </c>
      <c r="H384" s="7">
        <v>46</v>
      </c>
      <c r="I384" s="7">
        <v>84</v>
      </c>
      <c r="J384" s="7">
        <v>3864</v>
      </c>
      <c r="K384" s="7">
        <v>1854.72</v>
      </c>
      <c r="L384" s="7">
        <v>0.48</v>
      </c>
      <c r="M384" s="8" t="s">
        <v>46</v>
      </c>
    </row>
    <row r="385" spans="1:13">
      <c r="A385" s="9" t="s">
        <v>22</v>
      </c>
      <c r="B385" s="10">
        <v>1004</v>
      </c>
      <c r="C385" s="11">
        <v>44289</v>
      </c>
      <c r="D385" s="10" t="s">
        <v>2</v>
      </c>
      <c r="E385" s="11" t="s">
        <v>106</v>
      </c>
      <c r="F385" s="11" t="s">
        <v>107</v>
      </c>
      <c r="G385" s="11" t="s">
        <v>12</v>
      </c>
      <c r="H385" s="11">
        <v>49</v>
      </c>
      <c r="I385" s="11">
        <v>61</v>
      </c>
      <c r="J385" s="11">
        <v>2989</v>
      </c>
      <c r="K385" s="11">
        <v>1643.95</v>
      </c>
      <c r="L385" s="11">
        <v>0.55000000000000004</v>
      </c>
      <c r="M385" s="12" t="s">
        <v>46</v>
      </c>
    </row>
    <row r="386" spans="1:13">
      <c r="A386" s="5" t="s">
        <v>19</v>
      </c>
      <c r="B386" s="6">
        <v>1005</v>
      </c>
      <c r="C386" s="7">
        <v>44239</v>
      </c>
      <c r="D386" s="6" t="s">
        <v>3</v>
      </c>
      <c r="E386" s="7" t="s">
        <v>63</v>
      </c>
      <c r="F386" s="7" t="s">
        <v>77</v>
      </c>
      <c r="G386" s="7" t="s">
        <v>11</v>
      </c>
      <c r="H386" s="7">
        <v>37</v>
      </c>
      <c r="I386" s="7">
        <v>238</v>
      </c>
      <c r="J386" s="7">
        <v>8806</v>
      </c>
      <c r="K386" s="7">
        <v>5371.66</v>
      </c>
      <c r="L386" s="7">
        <v>0.61</v>
      </c>
      <c r="M386" s="8" t="s">
        <v>46</v>
      </c>
    </row>
    <row r="387" spans="1:13">
      <c r="A387" s="9" t="s">
        <v>18</v>
      </c>
      <c r="B387" s="10">
        <v>1001</v>
      </c>
      <c r="C387" s="11">
        <v>44348</v>
      </c>
      <c r="D387" s="10" t="s">
        <v>2</v>
      </c>
      <c r="E387" s="11" t="s">
        <v>55</v>
      </c>
      <c r="F387" s="11" t="s">
        <v>56</v>
      </c>
      <c r="G387" s="11" t="s">
        <v>12</v>
      </c>
      <c r="H387" s="11">
        <v>35</v>
      </c>
      <c r="I387" s="11">
        <v>200</v>
      </c>
      <c r="J387" s="11">
        <v>7000</v>
      </c>
      <c r="K387" s="11">
        <v>3500</v>
      </c>
      <c r="L387" s="11">
        <v>0.5</v>
      </c>
      <c r="M387" s="12" t="s">
        <v>43</v>
      </c>
    </row>
    <row r="388" spans="1:13">
      <c r="A388" s="5" t="s">
        <v>22</v>
      </c>
      <c r="B388" s="6">
        <v>1004</v>
      </c>
      <c r="C388" s="7">
        <v>43939</v>
      </c>
      <c r="D388" s="6" t="s">
        <v>6</v>
      </c>
      <c r="E388" s="7" t="s">
        <v>114</v>
      </c>
      <c r="F388" s="7" t="s">
        <v>115</v>
      </c>
      <c r="G388" s="7" t="s">
        <v>9</v>
      </c>
      <c r="H388" s="7">
        <v>70</v>
      </c>
      <c r="I388" s="7">
        <v>325</v>
      </c>
      <c r="J388" s="7">
        <v>22750</v>
      </c>
      <c r="K388" s="7">
        <v>14787.5</v>
      </c>
      <c r="L388" s="7">
        <v>0.65000000000000013</v>
      </c>
      <c r="M388" s="8" t="s">
        <v>74</v>
      </c>
    </row>
    <row r="389" spans="1:13">
      <c r="A389" s="9" t="s">
        <v>20</v>
      </c>
      <c r="B389" s="10">
        <v>1003</v>
      </c>
      <c r="C389" s="11">
        <v>44289</v>
      </c>
      <c r="D389" s="10" t="s">
        <v>5</v>
      </c>
      <c r="E389" s="11" t="s">
        <v>89</v>
      </c>
      <c r="F389" s="11" t="s">
        <v>90</v>
      </c>
      <c r="G389" s="11" t="s">
        <v>13</v>
      </c>
      <c r="H389" s="11">
        <v>25</v>
      </c>
      <c r="I389" s="11">
        <v>500</v>
      </c>
      <c r="J389" s="11">
        <v>12500</v>
      </c>
      <c r="K389" s="11">
        <v>5000</v>
      </c>
      <c r="L389" s="11">
        <v>0.4</v>
      </c>
      <c r="M389" s="12" t="s">
        <v>46</v>
      </c>
    </row>
    <row r="390" spans="1:13">
      <c r="A390" s="5" t="s">
        <v>20</v>
      </c>
      <c r="B390" s="6">
        <v>1003</v>
      </c>
      <c r="C390" s="7">
        <v>44036</v>
      </c>
      <c r="D390" s="6" t="s">
        <v>4</v>
      </c>
      <c r="E390" s="7" t="s">
        <v>64</v>
      </c>
      <c r="F390" s="7" t="s">
        <v>78</v>
      </c>
      <c r="G390" s="7" t="s">
        <v>12</v>
      </c>
      <c r="H390" s="7">
        <v>25</v>
      </c>
      <c r="I390" s="7">
        <v>224</v>
      </c>
      <c r="J390" s="7">
        <v>5600</v>
      </c>
      <c r="K390" s="7">
        <v>3136</v>
      </c>
      <c r="L390" s="7">
        <v>0.56000000000000005</v>
      </c>
      <c r="M390" s="8" t="s">
        <v>43</v>
      </c>
    </row>
    <row r="391" spans="1:13">
      <c r="A391" s="9" t="s">
        <v>22</v>
      </c>
      <c r="B391" s="10">
        <v>1004</v>
      </c>
      <c r="C391" s="11">
        <v>43990</v>
      </c>
      <c r="D391" s="10" t="s">
        <v>6</v>
      </c>
      <c r="E391" s="11" t="s">
        <v>118</v>
      </c>
      <c r="F391" s="11" t="s">
        <v>119</v>
      </c>
      <c r="G391" s="11" t="s">
        <v>10</v>
      </c>
      <c r="H391" s="11">
        <v>58</v>
      </c>
      <c r="I391" s="11">
        <v>115</v>
      </c>
      <c r="J391" s="11">
        <v>6670</v>
      </c>
      <c r="K391" s="11">
        <v>2401.1999999999998</v>
      </c>
      <c r="L391" s="11">
        <v>0.36</v>
      </c>
      <c r="M391" s="12" t="s">
        <v>46</v>
      </c>
    </row>
    <row r="392" spans="1:13">
      <c r="A392" s="5" t="s">
        <v>19</v>
      </c>
      <c r="B392" s="6">
        <v>1005</v>
      </c>
      <c r="C392" s="7">
        <v>44301</v>
      </c>
      <c r="D392" s="6" t="s">
        <v>6</v>
      </c>
      <c r="E392" s="7" t="s">
        <v>125</v>
      </c>
      <c r="F392" s="7" t="s">
        <v>133</v>
      </c>
      <c r="G392" s="7" t="s">
        <v>14</v>
      </c>
      <c r="H392" s="7">
        <v>45</v>
      </c>
      <c r="I392" s="7">
        <v>163</v>
      </c>
      <c r="J392" s="7">
        <v>7335</v>
      </c>
      <c r="K392" s="7">
        <v>3814.2</v>
      </c>
      <c r="L392" s="7">
        <v>0.52</v>
      </c>
      <c r="M392" s="8" t="s">
        <v>46</v>
      </c>
    </row>
    <row r="393" spans="1:13">
      <c r="A393" s="9" t="s">
        <v>18</v>
      </c>
      <c r="B393" s="10">
        <v>1001</v>
      </c>
      <c r="C393" s="11">
        <v>44293</v>
      </c>
      <c r="D393" s="10" t="s">
        <v>3</v>
      </c>
      <c r="E393" s="11" t="s">
        <v>75</v>
      </c>
      <c r="F393" s="11" t="s">
        <v>76</v>
      </c>
      <c r="G393" s="11" t="s">
        <v>10</v>
      </c>
      <c r="H393" s="11">
        <v>32</v>
      </c>
      <c r="I393" s="11">
        <v>33</v>
      </c>
      <c r="J393" s="11">
        <v>1056</v>
      </c>
      <c r="K393" s="11">
        <v>528</v>
      </c>
      <c r="L393" s="11">
        <v>0.5</v>
      </c>
      <c r="M393" s="12" t="s">
        <v>46</v>
      </c>
    </row>
    <row r="394" spans="1:13">
      <c r="A394" s="5" t="s">
        <v>20</v>
      </c>
      <c r="B394" s="6">
        <v>1003</v>
      </c>
      <c r="C394" s="7">
        <v>44412</v>
      </c>
      <c r="D394" s="6" t="s">
        <v>3</v>
      </c>
      <c r="E394" s="7" t="s">
        <v>131</v>
      </c>
      <c r="F394" s="7" t="s">
        <v>132</v>
      </c>
      <c r="G394" s="7" t="s">
        <v>11</v>
      </c>
      <c r="H394" s="7">
        <v>55</v>
      </c>
      <c r="I394" s="7">
        <v>625</v>
      </c>
      <c r="J394" s="7">
        <v>34375</v>
      </c>
      <c r="K394" s="7">
        <v>13750</v>
      </c>
      <c r="L394" s="7">
        <v>0.4</v>
      </c>
      <c r="M394" s="8" t="s">
        <v>74</v>
      </c>
    </row>
    <row r="395" spans="1:13">
      <c r="A395" s="9" t="s">
        <v>20</v>
      </c>
      <c r="B395" s="10">
        <v>1003</v>
      </c>
      <c r="C395" s="11">
        <v>44329</v>
      </c>
      <c r="D395" s="10" t="s">
        <v>3</v>
      </c>
      <c r="E395" s="11" t="s">
        <v>100</v>
      </c>
      <c r="F395" s="11" t="s">
        <v>101</v>
      </c>
      <c r="G395" s="11" t="s">
        <v>14</v>
      </c>
      <c r="H395" s="11">
        <v>45</v>
      </c>
      <c r="I395" s="11">
        <v>225</v>
      </c>
      <c r="J395" s="11">
        <v>10125</v>
      </c>
      <c r="K395" s="11">
        <v>2531.25</v>
      </c>
      <c r="L395" s="11">
        <v>0.25</v>
      </c>
      <c r="M395" s="12" t="s">
        <v>74</v>
      </c>
    </row>
    <row r="396" spans="1:13">
      <c r="A396" s="5" t="s">
        <v>18</v>
      </c>
      <c r="B396" s="6">
        <v>1001</v>
      </c>
      <c r="C396" s="7">
        <v>44420</v>
      </c>
      <c r="D396" s="6" t="s">
        <v>2</v>
      </c>
      <c r="E396" s="7" t="s">
        <v>51</v>
      </c>
      <c r="F396" s="7" t="s">
        <v>52</v>
      </c>
      <c r="G396" s="7" t="s">
        <v>10</v>
      </c>
      <c r="H396" s="7">
        <v>42</v>
      </c>
      <c r="I396" s="7">
        <v>78</v>
      </c>
      <c r="J396" s="7">
        <v>3276</v>
      </c>
      <c r="K396" s="7">
        <v>1474.2</v>
      </c>
      <c r="L396" s="7">
        <v>0.45</v>
      </c>
      <c r="M396" s="8" t="s">
        <v>46</v>
      </c>
    </row>
    <row r="397" spans="1:13">
      <c r="A397" s="9" t="s">
        <v>17</v>
      </c>
      <c r="B397" s="10">
        <v>1006</v>
      </c>
      <c r="C397" s="11">
        <v>44246</v>
      </c>
      <c r="D397" s="10" t="s">
        <v>3</v>
      </c>
      <c r="E397" s="11" t="s">
        <v>98</v>
      </c>
      <c r="F397" s="11" t="s">
        <v>99</v>
      </c>
      <c r="G397" s="11" t="s">
        <v>13</v>
      </c>
      <c r="H397" s="11">
        <v>45</v>
      </c>
      <c r="I397" s="11">
        <v>200</v>
      </c>
      <c r="J397" s="11">
        <v>9000</v>
      </c>
      <c r="K397" s="11">
        <v>2700</v>
      </c>
      <c r="L397" s="11">
        <v>0.3</v>
      </c>
      <c r="M397" s="12" t="s">
        <v>74</v>
      </c>
    </row>
    <row r="398" spans="1:13">
      <c r="A398" s="5" t="s">
        <v>22</v>
      </c>
      <c r="B398" s="6">
        <v>1004</v>
      </c>
      <c r="C398" s="7">
        <v>44208</v>
      </c>
      <c r="D398" s="6" t="s">
        <v>5</v>
      </c>
      <c r="E398" s="7" t="s">
        <v>47</v>
      </c>
      <c r="F398" s="7" t="s">
        <v>48</v>
      </c>
      <c r="G398" s="7" t="s">
        <v>11</v>
      </c>
      <c r="H398" s="7">
        <v>45</v>
      </c>
      <c r="I398" s="7">
        <v>850</v>
      </c>
      <c r="J398" s="7">
        <v>38250</v>
      </c>
      <c r="K398" s="7">
        <v>17212.5</v>
      </c>
      <c r="L398" s="7">
        <v>0.45</v>
      </c>
      <c r="M398" s="8" t="s">
        <v>74</v>
      </c>
    </row>
    <row r="399" spans="1:13">
      <c r="A399" s="9" t="s">
        <v>20</v>
      </c>
      <c r="B399" s="10">
        <v>1003</v>
      </c>
      <c r="C399" s="11">
        <v>44303</v>
      </c>
      <c r="D399" s="10" t="s">
        <v>4</v>
      </c>
      <c r="E399" s="11" t="s">
        <v>104</v>
      </c>
      <c r="F399" s="11" t="s">
        <v>105</v>
      </c>
      <c r="G399" s="11" t="s">
        <v>14</v>
      </c>
      <c r="H399" s="11">
        <v>30</v>
      </c>
      <c r="I399" s="11">
        <v>322</v>
      </c>
      <c r="J399" s="11">
        <v>9660</v>
      </c>
      <c r="K399" s="11">
        <v>4830</v>
      </c>
      <c r="L399" s="11">
        <v>0.49999999999999989</v>
      </c>
      <c r="M399" s="12" t="s">
        <v>43</v>
      </c>
    </row>
    <row r="400" spans="1:13">
      <c r="A400" s="5" t="s">
        <v>21</v>
      </c>
      <c r="B400" s="6">
        <v>1002</v>
      </c>
      <c r="C400" s="7">
        <v>44517</v>
      </c>
      <c r="D400" s="6" t="s">
        <v>5</v>
      </c>
      <c r="E400" s="7" t="s">
        <v>47</v>
      </c>
      <c r="F400" s="7" t="s">
        <v>48</v>
      </c>
      <c r="G400" s="7" t="s">
        <v>11</v>
      </c>
      <c r="H400" s="7">
        <v>55</v>
      </c>
      <c r="I400" s="7">
        <v>625</v>
      </c>
      <c r="J400" s="7">
        <v>34375</v>
      </c>
      <c r="K400" s="7">
        <v>10312.5</v>
      </c>
      <c r="L400" s="7">
        <v>0.3</v>
      </c>
      <c r="M400" s="8" t="s">
        <v>74</v>
      </c>
    </row>
    <row r="401" spans="1:13">
      <c r="A401" s="9" t="s">
        <v>20</v>
      </c>
      <c r="B401" s="10">
        <v>1003</v>
      </c>
      <c r="C401" s="11">
        <v>44248</v>
      </c>
      <c r="D401" s="10" t="s">
        <v>4</v>
      </c>
      <c r="E401" s="11" t="s">
        <v>116</v>
      </c>
      <c r="F401" s="11" t="s">
        <v>117</v>
      </c>
      <c r="G401" s="11" t="s">
        <v>14</v>
      </c>
      <c r="H401" s="11">
        <v>15</v>
      </c>
      <c r="I401" s="11">
        <v>400</v>
      </c>
      <c r="J401" s="11">
        <v>6000</v>
      </c>
      <c r="K401" s="11">
        <v>2400</v>
      </c>
      <c r="L401" s="11">
        <v>0.4</v>
      </c>
      <c r="M401" s="12" t="s">
        <v>46</v>
      </c>
    </row>
    <row r="402" spans="1:13">
      <c r="A402" s="5" t="s">
        <v>20</v>
      </c>
      <c r="B402" s="6">
        <v>1003</v>
      </c>
      <c r="C402" s="7">
        <v>44536</v>
      </c>
      <c r="D402" s="6" t="s">
        <v>3</v>
      </c>
      <c r="E402" s="7" t="s">
        <v>75</v>
      </c>
      <c r="F402" s="7" t="s">
        <v>76</v>
      </c>
      <c r="G402" s="7" t="s">
        <v>14</v>
      </c>
      <c r="H402" s="7">
        <v>50</v>
      </c>
      <c r="I402" s="7">
        <v>275</v>
      </c>
      <c r="J402" s="7">
        <v>13750</v>
      </c>
      <c r="K402" s="7">
        <v>5500</v>
      </c>
      <c r="L402" s="7">
        <v>0.4</v>
      </c>
      <c r="M402" s="8" t="s">
        <v>74</v>
      </c>
    </row>
    <row r="403" spans="1:13">
      <c r="A403" s="9" t="s">
        <v>18</v>
      </c>
      <c r="B403" s="10">
        <v>1001</v>
      </c>
      <c r="C403" s="11">
        <v>44206</v>
      </c>
      <c r="D403" s="10" t="s">
        <v>6</v>
      </c>
      <c r="E403" s="11" t="s">
        <v>108</v>
      </c>
      <c r="F403" s="11" t="s">
        <v>109</v>
      </c>
      <c r="G403" s="11" t="s">
        <v>9</v>
      </c>
      <c r="H403" s="11">
        <v>50</v>
      </c>
      <c r="I403" s="11">
        <v>175</v>
      </c>
      <c r="J403" s="11">
        <v>8750</v>
      </c>
      <c r="K403" s="11">
        <v>1312.5</v>
      </c>
      <c r="L403" s="11">
        <v>0.15</v>
      </c>
      <c r="M403" s="12" t="s">
        <v>43</v>
      </c>
    </row>
    <row r="404" spans="1:13">
      <c r="A404" s="5" t="s">
        <v>20</v>
      </c>
      <c r="B404" s="6">
        <v>1003</v>
      </c>
      <c r="C404" s="7">
        <v>44423</v>
      </c>
      <c r="D404" s="6" t="s">
        <v>4</v>
      </c>
      <c r="E404" s="7" t="s">
        <v>64</v>
      </c>
      <c r="F404" s="7" t="s">
        <v>65</v>
      </c>
      <c r="G404" s="7" t="s">
        <v>9</v>
      </c>
      <c r="H404" s="7">
        <v>26</v>
      </c>
      <c r="I404" s="7">
        <v>113</v>
      </c>
      <c r="J404" s="7">
        <v>2938</v>
      </c>
      <c r="K404" s="7">
        <v>793.26</v>
      </c>
      <c r="L404" s="7">
        <v>0.27</v>
      </c>
      <c r="M404" s="8" t="s">
        <v>43</v>
      </c>
    </row>
    <row r="405" spans="1:13">
      <c r="A405" s="9" t="s">
        <v>19</v>
      </c>
      <c r="B405" s="10">
        <v>1005</v>
      </c>
      <c r="C405" s="11">
        <v>44549</v>
      </c>
      <c r="D405" s="10" t="s">
        <v>4</v>
      </c>
      <c r="E405" s="11" t="s">
        <v>70</v>
      </c>
      <c r="F405" s="11" t="s">
        <v>71</v>
      </c>
      <c r="G405" s="11" t="s">
        <v>13</v>
      </c>
      <c r="H405" s="11">
        <v>54</v>
      </c>
      <c r="I405" s="11">
        <v>94</v>
      </c>
      <c r="J405" s="11">
        <v>5076</v>
      </c>
      <c r="K405" s="11">
        <v>2690.28</v>
      </c>
      <c r="L405" s="11">
        <v>0.53</v>
      </c>
      <c r="M405" s="12" t="s">
        <v>46</v>
      </c>
    </row>
    <row r="406" spans="1:13">
      <c r="A406" s="5" t="s">
        <v>20</v>
      </c>
      <c r="B406" s="6">
        <v>1003</v>
      </c>
      <c r="C406" s="7">
        <v>44290</v>
      </c>
      <c r="D406" s="6" t="s">
        <v>3</v>
      </c>
      <c r="E406" s="7" t="s">
        <v>131</v>
      </c>
      <c r="F406" s="7" t="s">
        <v>132</v>
      </c>
      <c r="G406" s="7" t="s">
        <v>12</v>
      </c>
      <c r="H406" s="7">
        <v>36</v>
      </c>
      <c r="I406" s="7">
        <v>69</v>
      </c>
      <c r="J406" s="7">
        <v>2484</v>
      </c>
      <c r="K406" s="7">
        <v>1242</v>
      </c>
      <c r="L406" s="7">
        <v>0.5</v>
      </c>
      <c r="M406" s="8" t="s">
        <v>46</v>
      </c>
    </row>
    <row r="407" spans="1:13">
      <c r="A407" s="9" t="s">
        <v>18</v>
      </c>
      <c r="B407" s="10">
        <v>1001</v>
      </c>
      <c r="C407" s="11">
        <v>44202</v>
      </c>
      <c r="D407" s="10" t="s">
        <v>2</v>
      </c>
      <c r="E407" s="11" t="s">
        <v>68</v>
      </c>
      <c r="F407" s="11" t="s">
        <v>69</v>
      </c>
      <c r="G407" s="11" t="s">
        <v>10</v>
      </c>
      <c r="H407" s="11">
        <v>29</v>
      </c>
      <c r="I407" s="11">
        <v>70</v>
      </c>
      <c r="J407" s="11">
        <v>2030</v>
      </c>
      <c r="K407" s="11">
        <v>933.8</v>
      </c>
      <c r="L407" s="11">
        <v>0.46</v>
      </c>
      <c r="M407" s="12" t="s">
        <v>46</v>
      </c>
    </row>
    <row r="408" spans="1:13">
      <c r="A408" s="5" t="s">
        <v>22</v>
      </c>
      <c r="B408" s="6">
        <v>1004</v>
      </c>
      <c r="C408" s="7">
        <v>44357</v>
      </c>
      <c r="D408" s="6" t="s">
        <v>2</v>
      </c>
      <c r="E408" s="7" t="s">
        <v>102</v>
      </c>
      <c r="F408" s="7" t="s">
        <v>103</v>
      </c>
      <c r="G408" s="7" t="s">
        <v>14</v>
      </c>
      <c r="H408" s="7">
        <v>27</v>
      </c>
      <c r="I408" s="7">
        <v>50</v>
      </c>
      <c r="J408" s="7">
        <v>1350</v>
      </c>
      <c r="K408" s="7">
        <v>607.5</v>
      </c>
      <c r="L408" s="7">
        <v>0.45</v>
      </c>
      <c r="M408" s="8" t="s">
        <v>46</v>
      </c>
    </row>
    <row r="409" spans="1:13">
      <c r="A409" s="9" t="s">
        <v>18</v>
      </c>
      <c r="B409" s="10">
        <v>1001</v>
      </c>
      <c r="C409" s="11">
        <v>44481</v>
      </c>
      <c r="D409" s="10" t="s">
        <v>2</v>
      </c>
      <c r="E409" s="11" t="s">
        <v>51</v>
      </c>
      <c r="F409" s="11" t="s">
        <v>52</v>
      </c>
      <c r="G409" s="11" t="s">
        <v>14</v>
      </c>
      <c r="H409" s="11">
        <v>43</v>
      </c>
      <c r="I409" s="11">
        <v>42</v>
      </c>
      <c r="J409" s="11">
        <v>1806</v>
      </c>
      <c r="K409" s="11">
        <v>722.4</v>
      </c>
      <c r="L409" s="11">
        <v>0.4</v>
      </c>
      <c r="M409" s="12" t="s">
        <v>46</v>
      </c>
    </row>
    <row r="410" spans="1:13">
      <c r="A410" s="5" t="s">
        <v>21</v>
      </c>
      <c r="B410" s="6">
        <v>1002</v>
      </c>
      <c r="C410" s="7">
        <v>44306</v>
      </c>
      <c r="D410" s="6" t="s">
        <v>4</v>
      </c>
      <c r="E410" s="7" t="s">
        <v>79</v>
      </c>
      <c r="F410" s="7" t="s">
        <v>80</v>
      </c>
      <c r="G410" s="7" t="s">
        <v>12</v>
      </c>
      <c r="H410" s="7">
        <v>28</v>
      </c>
      <c r="I410" s="7">
        <v>116</v>
      </c>
      <c r="J410" s="7">
        <v>3248</v>
      </c>
      <c r="K410" s="7">
        <v>1656.48</v>
      </c>
      <c r="L410" s="7">
        <v>0.51</v>
      </c>
      <c r="M410" s="8" t="s">
        <v>46</v>
      </c>
    </row>
    <row r="411" spans="1:13">
      <c r="A411" s="9" t="s">
        <v>18</v>
      </c>
      <c r="B411" s="10">
        <v>1001</v>
      </c>
      <c r="C411" s="11">
        <v>44407</v>
      </c>
      <c r="D411" s="10" t="s">
        <v>2</v>
      </c>
      <c r="E411" s="11" t="s">
        <v>141</v>
      </c>
      <c r="F411" s="11" t="s">
        <v>142</v>
      </c>
      <c r="G411" s="11" t="s">
        <v>11</v>
      </c>
      <c r="H411" s="11">
        <v>55</v>
      </c>
      <c r="I411" s="11">
        <v>112</v>
      </c>
      <c r="J411" s="11">
        <v>6160</v>
      </c>
      <c r="K411" s="11">
        <v>3326.4</v>
      </c>
      <c r="L411" s="11">
        <v>0.54</v>
      </c>
      <c r="M411" s="12" t="s">
        <v>46</v>
      </c>
    </row>
    <row r="412" spans="1:13">
      <c r="A412" s="5" t="s">
        <v>18</v>
      </c>
      <c r="B412" s="6">
        <v>1001</v>
      </c>
      <c r="C412" s="7">
        <v>43901</v>
      </c>
      <c r="D412" s="6" t="s">
        <v>3</v>
      </c>
      <c r="E412" s="7" t="s">
        <v>63</v>
      </c>
      <c r="F412" s="7" t="s">
        <v>63</v>
      </c>
      <c r="G412" s="7" t="s">
        <v>10</v>
      </c>
      <c r="H412" s="7">
        <v>53</v>
      </c>
      <c r="I412" s="7">
        <v>267</v>
      </c>
      <c r="J412" s="7">
        <v>14151</v>
      </c>
      <c r="K412" s="7">
        <v>5943.42</v>
      </c>
      <c r="L412" s="7">
        <v>0.42</v>
      </c>
      <c r="M412" s="8" t="s">
        <v>46</v>
      </c>
    </row>
    <row r="413" spans="1:13">
      <c r="A413" s="9" t="s">
        <v>18</v>
      </c>
      <c r="B413" s="10">
        <v>1001</v>
      </c>
      <c r="C413" s="11">
        <v>44518</v>
      </c>
      <c r="D413" s="10" t="s">
        <v>2</v>
      </c>
      <c r="E413" s="11" t="s">
        <v>91</v>
      </c>
      <c r="F413" s="11" t="s">
        <v>92</v>
      </c>
      <c r="G413" s="11" t="s">
        <v>9</v>
      </c>
      <c r="H413" s="11">
        <v>45</v>
      </c>
      <c r="I413" s="11">
        <v>300</v>
      </c>
      <c r="J413" s="11">
        <v>13500</v>
      </c>
      <c r="K413" s="11">
        <v>4725</v>
      </c>
      <c r="L413" s="11">
        <v>0.35</v>
      </c>
      <c r="M413" s="12" t="s">
        <v>74</v>
      </c>
    </row>
    <row r="414" spans="1:13">
      <c r="A414" s="5" t="s">
        <v>22</v>
      </c>
      <c r="B414" s="6">
        <v>1004</v>
      </c>
      <c r="C414" s="7">
        <v>44278</v>
      </c>
      <c r="D414" s="6" t="s">
        <v>6</v>
      </c>
      <c r="E414" s="7" t="s">
        <v>93</v>
      </c>
      <c r="F414" s="7" t="s">
        <v>94</v>
      </c>
      <c r="G414" s="7" t="s">
        <v>11</v>
      </c>
      <c r="H414" s="7">
        <v>40</v>
      </c>
      <c r="I414" s="7">
        <v>475</v>
      </c>
      <c r="J414" s="7">
        <v>19000</v>
      </c>
      <c r="K414" s="7">
        <v>6650</v>
      </c>
      <c r="L414" s="7">
        <v>0.35</v>
      </c>
      <c r="M414" s="8" t="s">
        <v>74</v>
      </c>
    </row>
    <row r="415" spans="1:13">
      <c r="A415" s="9" t="s">
        <v>20</v>
      </c>
      <c r="B415" s="10">
        <v>1003</v>
      </c>
      <c r="C415" s="11">
        <v>44421</v>
      </c>
      <c r="D415" s="10" t="s">
        <v>5</v>
      </c>
      <c r="E415" s="11" t="s">
        <v>57</v>
      </c>
      <c r="F415" s="11" t="s">
        <v>58</v>
      </c>
      <c r="G415" s="11" t="s">
        <v>10</v>
      </c>
      <c r="H415" s="11">
        <v>44</v>
      </c>
      <c r="I415" s="11">
        <v>200</v>
      </c>
      <c r="J415" s="11">
        <v>8800</v>
      </c>
      <c r="K415" s="11">
        <v>3696</v>
      </c>
      <c r="L415" s="11">
        <v>0.42</v>
      </c>
      <c r="M415" s="12" t="s">
        <v>43</v>
      </c>
    </row>
    <row r="416" spans="1:13">
      <c r="A416" s="5" t="s">
        <v>22</v>
      </c>
      <c r="B416" s="6">
        <v>1004</v>
      </c>
      <c r="C416" s="7">
        <v>44364</v>
      </c>
      <c r="D416" s="6" t="s">
        <v>3</v>
      </c>
      <c r="E416" s="7" t="s">
        <v>112</v>
      </c>
      <c r="F416" s="7" t="s">
        <v>113</v>
      </c>
      <c r="G416" s="7" t="s">
        <v>12</v>
      </c>
      <c r="H416" s="7">
        <v>59</v>
      </c>
      <c r="I416" s="7">
        <v>115</v>
      </c>
      <c r="J416" s="7">
        <v>6785</v>
      </c>
      <c r="K416" s="7">
        <v>3528.2</v>
      </c>
      <c r="L416" s="7">
        <v>0.52</v>
      </c>
      <c r="M416" s="8" t="s">
        <v>46</v>
      </c>
    </row>
    <row r="417" spans="1:13">
      <c r="A417" s="9" t="s">
        <v>18</v>
      </c>
      <c r="B417" s="10">
        <v>1001</v>
      </c>
      <c r="C417" s="11">
        <v>44245</v>
      </c>
      <c r="D417" s="10" t="s">
        <v>5</v>
      </c>
      <c r="E417" s="11" t="s">
        <v>44</v>
      </c>
      <c r="F417" s="11" t="s">
        <v>45</v>
      </c>
      <c r="G417" s="11" t="s">
        <v>11</v>
      </c>
      <c r="H417" s="11">
        <v>30</v>
      </c>
      <c r="I417" s="11">
        <v>775</v>
      </c>
      <c r="J417" s="11">
        <v>23250</v>
      </c>
      <c r="K417" s="11">
        <v>9300</v>
      </c>
      <c r="L417" s="11">
        <v>0.4</v>
      </c>
      <c r="M417" s="12" t="s">
        <v>46</v>
      </c>
    </row>
    <row r="418" spans="1:13">
      <c r="A418" s="5" t="s">
        <v>22</v>
      </c>
      <c r="B418" s="6">
        <v>1004</v>
      </c>
      <c r="C418" s="7">
        <v>44005</v>
      </c>
      <c r="D418" s="6" t="s">
        <v>6</v>
      </c>
      <c r="E418" s="7" t="s">
        <v>118</v>
      </c>
      <c r="F418" s="7" t="s">
        <v>119</v>
      </c>
      <c r="G418" s="7" t="s">
        <v>9</v>
      </c>
      <c r="H418" s="7">
        <v>65</v>
      </c>
      <c r="I418" s="7">
        <v>200</v>
      </c>
      <c r="J418" s="7">
        <v>13000</v>
      </c>
      <c r="K418" s="7">
        <v>3250</v>
      </c>
      <c r="L418" s="7">
        <v>0.25</v>
      </c>
      <c r="M418" s="8" t="s">
        <v>74</v>
      </c>
    </row>
    <row r="419" spans="1:13">
      <c r="A419" s="9" t="s">
        <v>18</v>
      </c>
      <c r="B419" s="10">
        <v>1001</v>
      </c>
      <c r="C419" s="11">
        <v>44408</v>
      </c>
      <c r="D419" s="10" t="s">
        <v>2</v>
      </c>
      <c r="E419" s="11" t="s">
        <v>141</v>
      </c>
      <c r="F419" s="11" t="s">
        <v>142</v>
      </c>
      <c r="G419" s="11" t="s">
        <v>10</v>
      </c>
      <c r="H419" s="11">
        <v>50</v>
      </c>
      <c r="I419" s="11">
        <v>250</v>
      </c>
      <c r="J419" s="11">
        <v>12500</v>
      </c>
      <c r="K419" s="11">
        <v>4375</v>
      </c>
      <c r="L419" s="11">
        <v>0.35</v>
      </c>
      <c r="M419" s="12" t="s">
        <v>43</v>
      </c>
    </row>
    <row r="420" spans="1:13">
      <c r="A420" s="5" t="s">
        <v>22</v>
      </c>
      <c r="B420" s="6">
        <v>1004</v>
      </c>
      <c r="C420" s="7">
        <v>44238</v>
      </c>
      <c r="D420" s="6" t="s">
        <v>6</v>
      </c>
      <c r="E420" s="7" t="s">
        <v>41</v>
      </c>
      <c r="F420" s="7" t="s">
        <v>42</v>
      </c>
      <c r="G420" s="7" t="s">
        <v>12</v>
      </c>
      <c r="H420" s="7">
        <v>18</v>
      </c>
      <c r="I420" s="7">
        <v>149</v>
      </c>
      <c r="J420" s="7">
        <v>2682</v>
      </c>
      <c r="K420" s="7">
        <v>1475.1</v>
      </c>
      <c r="L420" s="7">
        <v>0.55000000000000004</v>
      </c>
      <c r="M420" s="8" t="s">
        <v>43</v>
      </c>
    </row>
    <row r="421" spans="1:13">
      <c r="A421" s="9" t="s">
        <v>17</v>
      </c>
      <c r="B421" s="10">
        <v>1006</v>
      </c>
      <c r="C421" s="11">
        <v>44493</v>
      </c>
      <c r="D421" s="10" t="s">
        <v>3</v>
      </c>
      <c r="E421" s="11" t="s">
        <v>95</v>
      </c>
      <c r="F421" s="11" t="s">
        <v>94</v>
      </c>
      <c r="G421" s="11" t="s">
        <v>11</v>
      </c>
      <c r="H421" s="11">
        <v>39</v>
      </c>
      <c r="I421" s="11">
        <v>127</v>
      </c>
      <c r="J421" s="11">
        <v>4953</v>
      </c>
      <c r="K421" s="11">
        <v>2426.9699999999998</v>
      </c>
      <c r="L421" s="11">
        <v>0.49</v>
      </c>
      <c r="M421" s="12" t="s">
        <v>46</v>
      </c>
    </row>
    <row r="422" spans="1:13">
      <c r="A422" s="5" t="s">
        <v>22</v>
      </c>
      <c r="B422" s="6">
        <v>1004</v>
      </c>
      <c r="C422" s="7">
        <v>44493</v>
      </c>
      <c r="D422" s="6" t="s">
        <v>6</v>
      </c>
      <c r="E422" s="7" t="s">
        <v>93</v>
      </c>
      <c r="F422" s="7" t="s">
        <v>94</v>
      </c>
      <c r="G422" s="7" t="s">
        <v>11</v>
      </c>
      <c r="H422" s="7">
        <v>40</v>
      </c>
      <c r="I422" s="7">
        <v>350</v>
      </c>
      <c r="J422" s="7">
        <v>14000</v>
      </c>
      <c r="K422" s="7">
        <v>4900</v>
      </c>
      <c r="L422" s="7">
        <v>0.35</v>
      </c>
      <c r="M422" s="8" t="s">
        <v>74</v>
      </c>
    </row>
    <row r="423" spans="1:13">
      <c r="A423" s="9" t="s">
        <v>18</v>
      </c>
      <c r="B423" s="10">
        <v>1001</v>
      </c>
      <c r="C423" s="11">
        <v>44382</v>
      </c>
      <c r="D423" s="10" t="s">
        <v>2</v>
      </c>
      <c r="E423" s="11" t="s">
        <v>138</v>
      </c>
      <c r="F423" s="11" t="s">
        <v>139</v>
      </c>
      <c r="G423" s="11" t="s">
        <v>14</v>
      </c>
      <c r="H423" s="11">
        <v>36</v>
      </c>
      <c r="I423" s="11">
        <v>68</v>
      </c>
      <c r="J423" s="11">
        <v>2448</v>
      </c>
      <c r="K423" s="11">
        <v>1077.1199999999999</v>
      </c>
      <c r="L423" s="11">
        <v>0.44</v>
      </c>
      <c r="M423" s="12" t="s">
        <v>46</v>
      </c>
    </row>
    <row r="424" spans="1:13">
      <c r="A424" s="5" t="s">
        <v>20</v>
      </c>
      <c r="B424" s="6">
        <v>1003</v>
      </c>
      <c r="C424" s="7">
        <v>44411</v>
      </c>
      <c r="D424" s="6" t="s">
        <v>5</v>
      </c>
      <c r="E424" s="7" t="s">
        <v>89</v>
      </c>
      <c r="F424" s="7" t="s">
        <v>90</v>
      </c>
      <c r="G424" s="7" t="s">
        <v>11</v>
      </c>
      <c r="H424" s="7">
        <v>61</v>
      </c>
      <c r="I424" s="7">
        <v>308</v>
      </c>
      <c r="J424" s="7">
        <v>18788</v>
      </c>
      <c r="K424" s="7">
        <v>9957.64</v>
      </c>
      <c r="L424" s="7">
        <v>0.53</v>
      </c>
      <c r="M424" s="8" t="s">
        <v>46</v>
      </c>
    </row>
    <row r="425" spans="1:13">
      <c r="A425" s="9" t="s">
        <v>20</v>
      </c>
      <c r="B425" s="10">
        <v>1003</v>
      </c>
      <c r="C425" s="11">
        <v>44454</v>
      </c>
      <c r="D425" s="10" t="s">
        <v>2</v>
      </c>
      <c r="E425" s="11" t="s">
        <v>72</v>
      </c>
      <c r="F425" s="11" t="s">
        <v>73</v>
      </c>
      <c r="G425" s="11" t="s">
        <v>10</v>
      </c>
      <c r="H425" s="11">
        <v>37</v>
      </c>
      <c r="I425" s="11">
        <v>174</v>
      </c>
      <c r="J425" s="11">
        <v>6438</v>
      </c>
      <c r="K425" s="11">
        <v>3283.38</v>
      </c>
      <c r="L425" s="11">
        <v>0.51</v>
      </c>
      <c r="M425" s="12" t="s">
        <v>46</v>
      </c>
    </row>
    <row r="426" spans="1:13">
      <c r="A426" s="5" t="s">
        <v>20</v>
      </c>
      <c r="B426" s="6">
        <v>1003</v>
      </c>
      <c r="C426" s="7">
        <v>44316</v>
      </c>
      <c r="D426" s="6" t="s">
        <v>4</v>
      </c>
      <c r="E426" s="7" t="s">
        <v>104</v>
      </c>
      <c r="F426" s="7" t="s">
        <v>105</v>
      </c>
      <c r="G426" s="7" t="s">
        <v>13</v>
      </c>
      <c r="H426" s="7">
        <v>53</v>
      </c>
      <c r="I426" s="7">
        <v>100</v>
      </c>
      <c r="J426" s="7">
        <v>5300</v>
      </c>
      <c r="K426" s="7">
        <v>3710</v>
      </c>
      <c r="L426" s="7">
        <v>0.70000000000000007</v>
      </c>
      <c r="M426" s="8" t="s">
        <v>46</v>
      </c>
    </row>
    <row r="427" spans="1:13">
      <c r="A427" s="9" t="s">
        <v>22</v>
      </c>
      <c r="B427" s="10">
        <v>1004</v>
      </c>
      <c r="C427" s="11">
        <v>44324</v>
      </c>
      <c r="D427" s="10" t="s">
        <v>3</v>
      </c>
      <c r="E427" s="11" t="s">
        <v>63</v>
      </c>
      <c r="F427" s="11" t="s">
        <v>77</v>
      </c>
      <c r="G427" s="11" t="s">
        <v>12</v>
      </c>
      <c r="H427" s="11">
        <v>65</v>
      </c>
      <c r="I427" s="11">
        <v>625</v>
      </c>
      <c r="J427" s="11">
        <v>40625</v>
      </c>
      <c r="K427" s="11">
        <v>20312.5</v>
      </c>
      <c r="L427" s="11">
        <v>0.5</v>
      </c>
      <c r="M427" s="12" t="s">
        <v>74</v>
      </c>
    </row>
    <row r="428" spans="1:13">
      <c r="A428" s="5" t="s">
        <v>18</v>
      </c>
      <c r="B428" s="6">
        <v>1001</v>
      </c>
      <c r="C428" s="7">
        <v>44420</v>
      </c>
      <c r="D428" s="6" t="s">
        <v>2</v>
      </c>
      <c r="E428" s="7" t="s">
        <v>51</v>
      </c>
      <c r="F428" s="7" t="s">
        <v>52</v>
      </c>
      <c r="G428" s="7" t="s">
        <v>14</v>
      </c>
      <c r="H428" s="7">
        <v>36</v>
      </c>
      <c r="I428" s="7">
        <v>65</v>
      </c>
      <c r="J428" s="7">
        <v>2340</v>
      </c>
      <c r="K428" s="7">
        <v>936</v>
      </c>
      <c r="L428" s="7">
        <v>0.4</v>
      </c>
      <c r="M428" s="8" t="s">
        <v>46</v>
      </c>
    </row>
    <row r="429" spans="1:13">
      <c r="A429" s="9" t="s">
        <v>20</v>
      </c>
      <c r="B429" s="10">
        <v>1003</v>
      </c>
      <c r="C429" s="11">
        <v>44240</v>
      </c>
      <c r="D429" s="10" t="s">
        <v>5</v>
      </c>
      <c r="E429" s="11" t="s">
        <v>57</v>
      </c>
      <c r="F429" s="11" t="s">
        <v>58</v>
      </c>
      <c r="G429" s="11" t="s">
        <v>9</v>
      </c>
      <c r="H429" s="11">
        <v>34</v>
      </c>
      <c r="I429" s="11">
        <v>60</v>
      </c>
      <c r="J429" s="11">
        <v>2040</v>
      </c>
      <c r="K429" s="11">
        <v>795.6</v>
      </c>
      <c r="L429" s="11">
        <v>0.39</v>
      </c>
      <c r="M429" s="12" t="s">
        <v>43</v>
      </c>
    </row>
    <row r="430" spans="1:13">
      <c r="A430" s="5" t="s">
        <v>18</v>
      </c>
      <c r="B430" s="6">
        <v>1001</v>
      </c>
      <c r="C430" s="7">
        <v>44251</v>
      </c>
      <c r="D430" s="6" t="s">
        <v>5</v>
      </c>
      <c r="E430" s="7" t="s">
        <v>59</v>
      </c>
      <c r="F430" s="7" t="s">
        <v>60</v>
      </c>
      <c r="G430" s="7" t="s">
        <v>12</v>
      </c>
      <c r="H430" s="7">
        <v>38</v>
      </c>
      <c r="I430" s="7">
        <v>81</v>
      </c>
      <c r="J430" s="7">
        <v>3078</v>
      </c>
      <c r="K430" s="7">
        <v>1323.54</v>
      </c>
      <c r="L430" s="7">
        <v>0.43</v>
      </c>
      <c r="M430" s="8" t="s">
        <v>46</v>
      </c>
    </row>
    <row r="431" spans="1:13">
      <c r="A431" s="9" t="s">
        <v>20</v>
      </c>
      <c r="B431" s="10">
        <v>1003</v>
      </c>
      <c r="C431" s="11">
        <v>44302</v>
      </c>
      <c r="D431" s="10" t="s">
        <v>2</v>
      </c>
      <c r="E431" s="11" t="s">
        <v>72</v>
      </c>
      <c r="F431" s="11" t="s">
        <v>73</v>
      </c>
      <c r="G431" s="11" t="s">
        <v>14</v>
      </c>
      <c r="H431" s="11">
        <v>30</v>
      </c>
      <c r="I431" s="11">
        <v>450</v>
      </c>
      <c r="J431" s="11">
        <v>13500</v>
      </c>
      <c r="K431" s="11">
        <v>4050</v>
      </c>
      <c r="L431" s="11">
        <v>0.3</v>
      </c>
      <c r="M431" s="12" t="s">
        <v>74</v>
      </c>
    </row>
    <row r="432" spans="1:13">
      <c r="A432" s="5" t="s">
        <v>20</v>
      </c>
      <c r="B432" s="6">
        <v>1003</v>
      </c>
      <c r="C432" s="7">
        <v>44244</v>
      </c>
      <c r="D432" s="6" t="s">
        <v>5</v>
      </c>
      <c r="E432" s="7" t="s">
        <v>59</v>
      </c>
      <c r="F432" s="7" t="s">
        <v>60</v>
      </c>
      <c r="G432" s="7" t="s">
        <v>14</v>
      </c>
      <c r="H432" s="7">
        <v>17</v>
      </c>
      <c r="I432" s="7">
        <v>170</v>
      </c>
      <c r="J432" s="7">
        <v>2890</v>
      </c>
      <c r="K432" s="7">
        <v>1040.4000000000001</v>
      </c>
      <c r="L432" s="7">
        <v>0.36</v>
      </c>
      <c r="M432" s="8" t="s">
        <v>43</v>
      </c>
    </row>
    <row r="433" spans="1:13">
      <c r="A433" s="9" t="s">
        <v>20</v>
      </c>
      <c r="B433" s="10">
        <v>1003</v>
      </c>
      <c r="C433" s="11">
        <v>44219</v>
      </c>
      <c r="D433" s="10" t="s">
        <v>4</v>
      </c>
      <c r="E433" s="11" t="s">
        <v>116</v>
      </c>
      <c r="F433" s="11" t="s">
        <v>117</v>
      </c>
      <c r="G433" s="11" t="s">
        <v>10</v>
      </c>
      <c r="H433" s="11">
        <v>25</v>
      </c>
      <c r="I433" s="11">
        <v>450</v>
      </c>
      <c r="J433" s="11">
        <v>11250</v>
      </c>
      <c r="K433" s="11">
        <v>3937.5</v>
      </c>
      <c r="L433" s="11">
        <v>0.35</v>
      </c>
      <c r="M433" s="12" t="s">
        <v>46</v>
      </c>
    </row>
    <row r="434" spans="1:13">
      <c r="A434" s="5" t="s">
        <v>18</v>
      </c>
      <c r="B434" s="6">
        <v>1001</v>
      </c>
      <c r="C434" s="7">
        <v>44322</v>
      </c>
      <c r="D434" s="6" t="s">
        <v>3</v>
      </c>
      <c r="E434" s="7" t="s">
        <v>75</v>
      </c>
      <c r="F434" s="7" t="s">
        <v>76</v>
      </c>
      <c r="G434" s="7" t="s">
        <v>11</v>
      </c>
      <c r="H434" s="7">
        <v>50</v>
      </c>
      <c r="I434" s="7">
        <v>470</v>
      </c>
      <c r="J434" s="7">
        <v>23500</v>
      </c>
      <c r="K434" s="7">
        <v>8225</v>
      </c>
      <c r="L434" s="7">
        <v>0.35</v>
      </c>
      <c r="M434" s="8" t="s">
        <v>74</v>
      </c>
    </row>
    <row r="435" spans="1:13">
      <c r="A435" s="9" t="s">
        <v>22</v>
      </c>
      <c r="B435" s="10">
        <v>1004</v>
      </c>
      <c r="C435" s="11">
        <v>43922</v>
      </c>
      <c r="D435" s="10" t="s">
        <v>6</v>
      </c>
      <c r="E435" s="11" t="s">
        <v>114</v>
      </c>
      <c r="F435" s="11" t="s">
        <v>115</v>
      </c>
      <c r="G435" s="11" t="s">
        <v>12</v>
      </c>
      <c r="H435" s="11">
        <v>52</v>
      </c>
      <c r="I435" s="11">
        <v>95</v>
      </c>
      <c r="J435" s="11">
        <v>4940</v>
      </c>
      <c r="K435" s="11">
        <v>1432.6</v>
      </c>
      <c r="L435" s="11">
        <v>0.28999999999999998</v>
      </c>
      <c r="M435" s="12" t="s">
        <v>46</v>
      </c>
    </row>
    <row r="436" spans="1:13">
      <c r="A436" s="5" t="s">
        <v>18</v>
      </c>
      <c r="B436" s="6">
        <v>1001</v>
      </c>
      <c r="C436" s="7">
        <v>44542</v>
      </c>
      <c r="D436" s="6" t="s">
        <v>3</v>
      </c>
      <c r="E436" s="7" t="s">
        <v>81</v>
      </c>
      <c r="F436" s="7" t="s">
        <v>82</v>
      </c>
      <c r="G436" s="7" t="s">
        <v>13</v>
      </c>
      <c r="H436" s="7">
        <v>41</v>
      </c>
      <c r="I436" s="7">
        <v>53</v>
      </c>
      <c r="J436" s="7">
        <v>2173</v>
      </c>
      <c r="K436" s="7">
        <v>1021.31</v>
      </c>
      <c r="L436" s="7">
        <v>0.47</v>
      </c>
      <c r="M436" s="8" t="s">
        <v>46</v>
      </c>
    </row>
    <row r="437" spans="1:13">
      <c r="A437" s="9" t="s">
        <v>20</v>
      </c>
      <c r="B437" s="10">
        <v>1003</v>
      </c>
      <c r="C437" s="11">
        <v>44380</v>
      </c>
      <c r="D437" s="10" t="s">
        <v>3</v>
      </c>
      <c r="E437" s="11" t="s">
        <v>131</v>
      </c>
      <c r="F437" s="11" t="s">
        <v>132</v>
      </c>
      <c r="G437" s="11" t="s">
        <v>10</v>
      </c>
      <c r="H437" s="11">
        <v>50</v>
      </c>
      <c r="I437" s="11">
        <v>400</v>
      </c>
      <c r="J437" s="11">
        <v>20000</v>
      </c>
      <c r="K437" s="11">
        <v>8000</v>
      </c>
      <c r="L437" s="11">
        <v>0.4</v>
      </c>
      <c r="M437" s="12" t="s">
        <v>74</v>
      </c>
    </row>
    <row r="438" spans="1:13">
      <c r="A438" s="5" t="s">
        <v>18</v>
      </c>
      <c r="B438" s="6">
        <v>1001</v>
      </c>
      <c r="C438" s="7">
        <v>44245</v>
      </c>
      <c r="D438" s="6" t="s">
        <v>2</v>
      </c>
      <c r="E438" s="7" t="s">
        <v>72</v>
      </c>
      <c r="F438" s="7" t="s">
        <v>73</v>
      </c>
      <c r="G438" s="7" t="s">
        <v>14</v>
      </c>
      <c r="H438" s="7">
        <v>20</v>
      </c>
      <c r="I438" s="7">
        <v>375</v>
      </c>
      <c r="J438" s="7">
        <v>7500</v>
      </c>
      <c r="K438" s="7">
        <v>2625</v>
      </c>
      <c r="L438" s="7">
        <v>0.35</v>
      </c>
      <c r="M438" s="8" t="s">
        <v>74</v>
      </c>
    </row>
    <row r="439" spans="1:13">
      <c r="A439" s="9" t="s">
        <v>20</v>
      </c>
      <c r="B439" s="10">
        <v>1003</v>
      </c>
      <c r="C439" s="11">
        <v>44240</v>
      </c>
      <c r="D439" s="10" t="s">
        <v>6</v>
      </c>
      <c r="E439" s="11" t="s">
        <v>83</v>
      </c>
      <c r="F439" s="11" t="s">
        <v>84</v>
      </c>
      <c r="G439" s="11" t="s">
        <v>11</v>
      </c>
      <c r="H439" s="11">
        <v>29</v>
      </c>
      <c r="I439" s="11">
        <v>145</v>
      </c>
      <c r="J439" s="11">
        <v>4205</v>
      </c>
      <c r="K439" s="11">
        <v>2228.65</v>
      </c>
      <c r="L439" s="11">
        <v>0.53</v>
      </c>
      <c r="M439" s="12" t="s">
        <v>46</v>
      </c>
    </row>
    <row r="440" spans="1:13">
      <c r="A440" s="5" t="s">
        <v>20</v>
      </c>
      <c r="B440" s="6">
        <v>1003</v>
      </c>
      <c r="C440" s="7">
        <v>44267</v>
      </c>
      <c r="D440" s="6" t="s">
        <v>2</v>
      </c>
      <c r="E440" s="7" t="s">
        <v>136</v>
      </c>
      <c r="F440" s="7" t="s">
        <v>137</v>
      </c>
      <c r="G440" s="7" t="s">
        <v>14</v>
      </c>
      <c r="H440" s="7">
        <v>30</v>
      </c>
      <c r="I440" s="7">
        <v>500</v>
      </c>
      <c r="J440" s="7">
        <v>15000</v>
      </c>
      <c r="K440" s="7">
        <v>5250</v>
      </c>
      <c r="L440" s="7">
        <v>0.35</v>
      </c>
      <c r="M440" s="8" t="s">
        <v>43</v>
      </c>
    </row>
    <row r="441" spans="1:13">
      <c r="A441" s="9" t="s">
        <v>22</v>
      </c>
      <c r="B441" s="10">
        <v>1004</v>
      </c>
      <c r="C441" s="11">
        <v>44213</v>
      </c>
      <c r="D441" s="10" t="s">
        <v>6</v>
      </c>
      <c r="E441" s="11" t="s">
        <v>125</v>
      </c>
      <c r="F441" s="11" t="s">
        <v>126</v>
      </c>
      <c r="G441" s="11" t="s">
        <v>12</v>
      </c>
      <c r="H441" s="11">
        <v>80</v>
      </c>
      <c r="I441" s="11">
        <v>775</v>
      </c>
      <c r="J441" s="11">
        <v>62000</v>
      </c>
      <c r="K441" s="11">
        <v>9300</v>
      </c>
      <c r="L441" s="11">
        <v>0.15</v>
      </c>
      <c r="M441" s="12" t="s">
        <v>43</v>
      </c>
    </row>
    <row r="442" spans="1:13">
      <c r="A442" s="5" t="s">
        <v>18</v>
      </c>
      <c r="B442" s="6">
        <v>1001</v>
      </c>
      <c r="C442" s="7">
        <v>44310</v>
      </c>
      <c r="D442" s="6" t="s">
        <v>5</v>
      </c>
      <c r="E442" s="7" t="s">
        <v>59</v>
      </c>
      <c r="F442" s="7" t="s">
        <v>60</v>
      </c>
      <c r="G442" s="7" t="s">
        <v>11</v>
      </c>
      <c r="H442" s="7">
        <v>52</v>
      </c>
      <c r="I442" s="7">
        <v>124</v>
      </c>
      <c r="J442" s="7">
        <v>6448</v>
      </c>
      <c r="K442" s="7">
        <v>3095.04</v>
      </c>
      <c r="L442" s="7">
        <v>0.48</v>
      </c>
      <c r="M442" s="8" t="s">
        <v>46</v>
      </c>
    </row>
    <row r="443" spans="1:13">
      <c r="A443" s="9" t="s">
        <v>21</v>
      </c>
      <c r="B443" s="10">
        <v>1002</v>
      </c>
      <c r="C443" s="11">
        <v>44063</v>
      </c>
      <c r="D443" s="10" t="s">
        <v>4</v>
      </c>
      <c r="E443" s="11" t="s">
        <v>64</v>
      </c>
      <c r="F443" s="11" t="s">
        <v>78</v>
      </c>
      <c r="G443" s="11" t="s">
        <v>14</v>
      </c>
      <c r="H443" s="11">
        <v>40</v>
      </c>
      <c r="I443" s="11">
        <v>800</v>
      </c>
      <c r="J443" s="11">
        <v>32000</v>
      </c>
      <c r="K443" s="11">
        <v>11200</v>
      </c>
      <c r="L443" s="11">
        <v>0.35</v>
      </c>
      <c r="M443" s="12" t="s">
        <v>43</v>
      </c>
    </row>
    <row r="444" spans="1:13">
      <c r="A444" s="5" t="s">
        <v>18</v>
      </c>
      <c r="B444" s="6">
        <v>1001</v>
      </c>
      <c r="C444" s="7">
        <v>44383</v>
      </c>
      <c r="D444" s="6" t="s">
        <v>6</v>
      </c>
      <c r="E444" s="7" t="s">
        <v>120</v>
      </c>
      <c r="F444" s="7" t="s">
        <v>121</v>
      </c>
      <c r="G444" s="7" t="s">
        <v>12</v>
      </c>
      <c r="H444" s="7">
        <v>64</v>
      </c>
      <c r="I444" s="7">
        <v>208</v>
      </c>
      <c r="J444" s="7">
        <v>13312</v>
      </c>
      <c r="K444" s="7">
        <v>9185.2800000000007</v>
      </c>
      <c r="L444" s="7">
        <v>0.69000000000000006</v>
      </c>
      <c r="M444" s="8" t="s">
        <v>46</v>
      </c>
    </row>
    <row r="445" spans="1:13">
      <c r="A445" s="9" t="s">
        <v>22</v>
      </c>
      <c r="B445" s="10">
        <v>1004</v>
      </c>
      <c r="C445" s="11">
        <v>43945</v>
      </c>
      <c r="D445" s="10" t="s">
        <v>5</v>
      </c>
      <c r="E445" s="11" t="s">
        <v>47</v>
      </c>
      <c r="F445" s="11" t="s">
        <v>140</v>
      </c>
      <c r="G445" s="11" t="s">
        <v>11</v>
      </c>
      <c r="H445" s="11">
        <v>52</v>
      </c>
      <c r="I445" s="11">
        <v>300</v>
      </c>
      <c r="J445" s="11">
        <v>15600</v>
      </c>
      <c r="K445" s="11">
        <v>8736</v>
      </c>
      <c r="L445" s="11">
        <v>0.56000000000000005</v>
      </c>
      <c r="M445" s="12" t="s">
        <v>46</v>
      </c>
    </row>
    <row r="446" spans="1:13">
      <c r="A446" s="5" t="s">
        <v>18</v>
      </c>
      <c r="B446" s="6">
        <v>1001</v>
      </c>
      <c r="C446" s="7">
        <v>44138</v>
      </c>
      <c r="D446" s="6" t="s">
        <v>2</v>
      </c>
      <c r="E446" s="7" t="s">
        <v>96</v>
      </c>
      <c r="F446" s="7" t="s">
        <v>97</v>
      </c>
      <c r="G446" s="7" t="s">
        <v>12</v>
      </c>
      <c r="H446" s="7">
        <v>40</v>
      </c>
      <c r="I446" s="7">
        <v>175</v>
      </c>
      <c r="J446" s="7">
        <v>7000</v>
      </c>
      <c r="K446" s="7">
        <v>3150</v>
      </c>
      <c r="L446" s="7">
        <v>0.45</v>
      </c>
      <c r="M446" s="8" t="s">
        <v>74</v>
      </c>
    </row>
    <row r="447" spans="1:13">
      <c r="A447" s="9" t="s">
        <v>21</v>
      </c>
      <c r="B447" s="10">
        <v>1002</v>
      </c>
      <c r="C447" s="11">
        <v>44059</v>
      </c>
      <c r="D447" s="10" t="s">
        <v>4</v>
      </c>
      <c r="E447" s="11" t="s">
        <v>64</v>
      </c>
      <c r="F447" s="11" t="s">
        <v>78</v>
      </c>
      <c r="G447" s="11" t="s">
        <v>9</v>
      </c>
      <c r="H447" s="11">
        <v>42</v>
      </c>
      <c r="I447" s="11">
        <v>168</v>
      </c>
      <c r="J447" s="11">
        <v>7056</v>
      </c>
      <c r="K447" s="11">
        <v>2822.4</v>
      </c>
      <c r="L447" s="11">
        <v>0.4</v>
      </c>
      <c r="M447" s="12" t="s">
        <v>46</v>
      </c>
    </row>
    <row r="448" spans="1:13">
      <c r="A448" s="5" t="s">
        <v>22</v>
      </c>
      <c r="B448" s="6">
        <v>1004</v>
      </c>
      <c r="C448" s="7">
        <v>44248</v>
      </c>
      <c r="D448" s="6" t="s">
        <v>4</v>
      </c>
      <c r="E448" s="7" t="s">
        <v>70</v>
      </c>
      <c r="F448" s="7" t="s">
        <v>71</v>
      </c>
      <c r="G448" s="7" t="s">
        <v>13</v>
      </c>
      <c r="H448" s="7">
        <v>20</v>
      </c>
      <c r="I448" s="7">
        <v>175</v>
      </c>
      <c r="J448" s="7">
        <v>3500</v>
      </c>
      <c r="K448" s="7">
        <v>1400</v>
      </c>
      <c r="L448" s="7">
        <v>0.4</v>
      </c>
      <c r="M448" s="8" t="s">
        <v>46</v>
      </c>
    </row>
    <row r="449" spans="1:13">
      <c r="A449" s="9" t="s">
        <v>20</v>
      </c>
      <c r="B449" s="10">
        <v>1003</v>
      </c>
      <c r="C449" s="11">
        <v>44546</v>
      </c>
      <c r="D449" s="10" t="s">
        <v>4</v>
      </c>
      <c r="E449" s="11" t="s">
        <v>116</v>
      </c>
      <c r="F449" s="11" t="s">
        <v>117</v>
      </c>
      <c r="G449" s="11" t="s">
        <v>10</v>
      </c>
      <c r="H449" s="11">
        <v>44</v>
      </c>
      <c r="I449" s="11">
        <v>201</v>
      </c>
      <c r="J449" s="11">
        <v>8844</v>
      </c>
      <c r="K449" s="11">
        <v>3272.28</v>
      </c>
      <c r="L449" s="11">
        <v>0.37</v>
      </c>
      <c r="M449" s="12" t="s">
        <v>43</v>
      </c>
    </row>
    <row r="450" spans="1:13">
      <c r="A450" s="5" t="s">
        <v>19</v>
      </c>
      <c r="B450" s="6">
        <v>1005</v>
      </c>
      <c r="C450" s="7">
        <v>44222</v>
      </c>
      <c r="D450" s="6" t="s">
        <v>6</v>
      </c>
      <c r="E450" s="7" t="s">
        <v>134</v>
      </c>
      <c r="F450" s="7" t="s">
        <v>135</v>
      </c>
      <c r="G450" s="7" t="s">
        <v>9</v>
      </c>
      <c r="H450" s="7">
        <v>50</v>
      </c>
      <c r="I450" s="7">
        <v>275</v>
      </c>
      <c r="J450" s="7">
        <v>13750</v>
      </c>
      <c r="K450" s="7">
        <v>4125</v>
      </c>
      <c r="L450" s="7">
        <v>0.3</v>
      </c>
      <c r="M450" s="8" t="s">
        <v>46</v>
      </c>
    </row>
    <row r="451" spans="1:13">
      <c r="A451" s="9" t="s">
        <v>20</v>
      </c>
      <c r="B451" s="10">
        <v>1003</v>
      </c>
      <c r="C451" s="11">
        <v>44513</v>
      </c>
      <c r="D451" s="10" t="s">
        <v>5</v>
      </c>
      <c r="E451" s="11" t="s">
        <v>57</v>
      </c>
      <c r="F451" s="11" t="s">
        <v>58</v>
      </c>
      <c r="G451" s="11" t="s">
        <v>10</v>
      </c>
      <c r="H451" s="11">
        <v>60</v>
      </c>
      <c r="I451" s="11">
        <v>575</v>
      </c>
      <c r="J451" s="11">
        <v>34500</v>
      </c>
      <c r="K451" s="11">
        <v>13800</v>
      </c>
      <c r="L451" s="11">
        <v>0.4</v>
      </c>
      <c r="M451" s="12" t="s">
        <v>46</v>
      </c>
    </row>
    <row r="452" spans="1:13">
      <c r="A452" s="5" t="s">
        <v>20</v>
      </c>
      <c r="B452" s="6">
        <v>1003</v>
      </c>
      <c r="C452" s="7">
        <v>44236</v>
      </c>
      <c r="D452" s="6" t="s">
        <v>2</v>
      </c>
      <c r="E452" s="7" t="s">
        <v>68</v>
      </c>
      <c r="F452" s="7" t="s">
        <v>69</v>
      </c>
      <c r="G452" s="7" t="s">
        <v>12</v>
      </c>
      <c r="H452" s="7">
        <v>25</v>
      </c>
      <c r="I452" s="7">
        <v>275</v>
      </c>
      <c r="J452" s="7">
        <v>6875</v>
      </c>
      <c r="K452" s="7">
        <v>2750</v>
      </c>
      <c r="L452" s="7">
        <v>0.4</v>
      </c>
      <c r="M452" s="8" t="s">
        <v>46</v>
      </c>
    </row>
    <row r="453" spans="1:13">
      <c r="A453" s="9" t="s">
        <v>18</v>
      </c>
      <c r="B453" s="10">
        <v>1001</v>
      </c>
      <c r="C453" s="11">
        <v>44422</v>
      </c>
      <c r="D453" s="10" t="s">
        <v>3</v>
      </c>
      <c r="E453" s="11" t="s">
        <v>129</v>
      </c>
      <c r="F453" s="11" t="s">
        <v>130</v>
      </c>
      <c r="G453" s="11" t="s">
        <v>11</v>
      </c>
      <c r="H453" s="11">
        <v>55</v>
      </c>
      <c r="I453" s="11">
        <v>650</v>
      </c>
      <c r="J453" s="11">
        <v>35750</v>
      </c>
      <c r="K453" s="11">
        <v>12512.5</v>
      </c>
      <c r="L453" s="11">
        <v>0.35</v>
      </c>
      <c r="M453" s="12" t="s">
        <v>74</v>
      </c>
    </row>
    <row r="454" spans="1:13">
      <c r="A454" s="5" t="s">
        <v>18</v>
      </c>
      <c r="B454" s="6">
        <v>1001</v>
      </c>
      <c r="C454" s="7">
        <v>44491</v>
      </c>
      <c r="D454" s="6" t="s">
        <v>3</v>
      </c>
      <c r="E454" s="7" t="s">
        <v>110</v>
      </c>
      <c r="F454" s="7" t="s">
        <v>111</v>
      </c>
      <c r="G454" s="7" t="s">
        <v>13</v>
      </c>
      <c r="H454" s="7">
        <v>49</v>
      </c>
      <c r="I454" s="7">
        <v>21</v>
      </c>
      <c r="J454" s="7">
        <v>1029</v>
      </c>
      <c r="K454" s="7">
        <v>514.5</v>
      </c>
      <c r="L454" s="7">
        <v>0.5</v>
      </c>
      <c r="M454" s="8" t="s">
        <v>46</v>
      </c>
    </row>
    <row r="455" spans="1:13">
      <c r="A455" s="9" t="s">
        <v>22</v>
      </c>
      <c r="B455" s="10">
        <v>1004</v>
      </c>
      <c r="C455" s="11">
        <v>44263</v>
      </c>
      <c r="D455" s="10" t="s">
        <v>3</v>
      </c>
      <c r="E455" s="11" t="s">
        <v>63</v>
      </c>
      <c r="F455" s="11" t="s">
        <v>77</v>
      </c>
      <c r="G455" s="11" t="s">
        <v>14</v>
      </c>
      <c r="H455" s="11">
        <v>33</v>
      </c>
      <c r="I455" s="11">
        <v>161</v>
      </c>
      <c r="J455" s="11">
        <v>5313</v>
      </c>
      <c r="K455" s="11">
        <v>1912.68</v>
      </c>
      <c r="L455" s="11">
        <v>0.36</v>
      </c>
      <c r="M455" s="12" t="s">
        <v>46</v>
      </c>
    </row>
    <row r="456" spans="1:13">
      <c r="A456" s="5" t="s">
        <v>22</v>
      </c>
      <c r="B456" s="6">
        <v>1004</v>
      </c>
      <c r="C456" s="7">
        <v>44386</v>
      </c>
      <c r="D456" s="6" t="s">
        <v>2</v>
      </c>
      <c r="E456" s="7" t="s">
        <v>102</v>
      </c>
      <c r="F456" s="7" t="s">
        <v>103</v>
      </c>
      <c r="G456" s="7" t="s">
        <v>13</v>
      </c>
      <c r="H456" s="7">
        <v>42</v>
      </c>
      <c r="I456" s="7">
        <v>49</v>
      </c>
      <c r="J456" s="7">
        <v>2058</v>
      </c>
      <c r="K456" s="7">
        <v>967.26</v>
      </c>
      <c r="L456" s="7">
        <v>0.47</v>
      </c>
      <c r="M456" s="8" t="s">
        <v>46</v>
      </c>
    </row>
    <row r="457" spans="1:13">
      <c r="A457" s="9" t="s">
        <v>19</v>
      </c>
      <c r="B457" s="10">
        <v>1005</v>
      </c>
      <c r="C457" s="11">
        <v>44273</v>
      </c>
      <c r="D457" s="10" t="s">
        <v>6</v>
      </c>
      <c r="E457" s="11" t="s">
        <v>125</v>
      </c>
      <c r="F457" s="11" t="s">
        <v>133</v>
      </c>
      <c r="G457" s="11" t="s">
        <v>12</v>
      </c>
      <c r="H457" s="11">
        <v>32</v>
      </c>
      <c r="I457" s="11">
        <v>208</v>
      </c>
      <c r="J457" s="11">
        <v>6656</v>
      </c>
      <c r="K457" s="11">
        <v>1730.56</v>
      </c>
      <c r="L457" s="11">
        <v>0.26</v>
      </c>
      <c r="M457" s="12" t="s">
        <v>43</v>
      </c>
    </row>
    <row r="458" spans="1:13">
      <c r="A458" s="5" t="s">
        <v>22</v>
      </c>
      <c r="B458" s="6">
        <v>1004</v>
      </c>
      <c r="C458" s="7">
        <v>44510</v>
      </c>
      <c r="D458" s="6" t="s">
        <v>2</v>
      </c>
      <c r="E458" s="7" t="s">
        <v>102</v>
      </c>
      <c r="F458" s="7" t="s">
        <v>103</v>
      </c>
      <c r="G458" s="7" t="s">
        <v>14</v>
      </c>
      <c r="H458" s="7">
        <v>32</v>
      </c>
      <c r="I458" s="7">
        <v>81</v>
      </c>
      <c r="J458" s="7">
        <v>2592</v>
      </c>
      <c r="K458" s="7">
        <v>1244.1600000000001</v>
      </c>
      <c r="L458" s="7">
        <v>0.48</v>
      </c>
      <c r="M458" s="8" t="s">
        <v>46</v>
      </c>
    </row>
    <row r="459" spans="1:13">
      <c r="A459" s="9" t="s">
        <v>21</v>
      </c>
      <c r="B459" s="10">
        <v>1002</v>
      </c>
      <c r="C459" s="11">
        <v>44074</v>
      </c>
      <c r="D459" s="10" t="s">
        <v>4</v>
      </c>
      <c r="E459" s="11" t="s">
        <v>64</v>
      </c>
      <c r="F459" s="11" t="s">
        <v>78</v>
      </c>
      <c r="G459" s="11" t="s">
        <v>10</v>
      </c>
      <c r="H459" s="11">
        <v>41</v>
      </c>
      <c r="I459" s="11">
        <v>259</v>
      </c>
      <c r="J459" s="11">
        <v>10619</v>
      </c>
      <c r="K459" s="11">
        <v>4778.55</v>
      </c>
      <c r="L459" s="11">
        <v>0.45</v>
      </c>
      <c r="M459" s="12" t="s">
        <v>46</v>
      </c>
    </row>
    <row r="460" spans="1:13">
      <c r="A460" s="5" t="s">
        <v>22</v>
      </c>
      <c r="B460" s="6">
        <v>1004</v>
      </c>
      <c r="C460" s="7">
        <v>44539</v>
      </c>
      <c r="D460" s="6" t="s">
        <v>2</v>
      </c>
      <c r="E460" s="7" t="s">
        <v>102</v>
      </c>
      <c r="F460" s="7" t="s">
        <v>103</v>
      </c>
      <c r="G460" s="7" t="s">
        <v>9</v>
      </c>
      <c r="H460" s="7">
        <v>60</v>
      </c>
      <c r="I460" s="7">
        <v>300</v>
      </c>
      <c r="J460" s="7">
        <v>18000</v>
      </c>
      <c r="K460" s="7">
        <v>5400</v>
      </c>
      <c r="L460" s="7">
        <v>0.3</v>
      </c>
      <c r="M460" s="8" t="s">
        <v>74</v>
      </c>
    </row>
    <row r="461" spans="1:13">
      <c r="A461" s="9" t="s">
        <v>20</v>
      </c>
      <c r="B461" s="10">
        <v>1003</v>
      </c>
      <c r="C461" s="11">
        <v>44263</v>
      </c>
      <c r="D461" s="10" t="s">
        <v>2</v>
      </c>
      <c r="E461" s="11" t="s">
        <v>68</v>
      </c>
      <c r="F461" s="11" t="s">
        <v>69</v>
      </c>
      <c r="G461" s="11" t="s">
        <v>13</v>
      </c>
      <c r="H461" s="11">
        <v>25</v>
      </c>
      <c r="I461" s="11">
        <v>22</v>
      </c>
      <c r="J461" s="11">
        <v>550</v>
      </c>
      <c r="K461" s="11">
        <v>231</v>
      </c>
      <c r="L461" s="11">
        <v>0.42</v>
      </c>
      <c r="M461" s="12" t="s">
        <v>46</v>
      </c>
    </row>
    <row r="462" spans="1:13">
      <c r="A462" s="5" t="s">
        <v>22</v>
      </c>
      <c r="B462" s="6">
        <v>1004</v>
      </c>
      <c r="C462" s="7">
        <v>44297</v>
      </c>
      <c r="D462" s="6" t="s">
        <v>6</v>
      </c>
      <c r="E462" s="7" t="s">
        <v>41</v>
      </c>
      <c r="F462" s="7" t="s">
        <v>42</v>
      </c>
      <c r="G462" s="7" t="s">
        <v>12</v>
      </c>
      <c r="H462" s="7">
        <v>25</v>
      </c>
      <c r="I462" s="7">
        <v>400</v>
      </c>
      <c r="J462" s="7">
        <v>10000</v>
      </c>
      <c r="K462" s="7">
        <v>5000</v>
      </c>
      <c r="L462" s="7">
        <v>0.5</v>
      </c>
      <c r="M462" s="8" t="s">
        <v>74</v>
      </c>
    </row>
    <row r="463" spans="1:13">
      <c r="A463" s="9" t="s">
        <v>17</v>
      </c>
      <c r="B463" s="10">
        <v>1006</v>
      </c>
      <c r="C463" s="11">
        <v>44462</v>
      </c>
      <c r="D463" s="10" t="s">
        <v>5</v>
      </c>
      <c r="E463" s="11" t="s">
        <v>44</v>
      </c>
      <c r="F463" s="11" t="s">
        <v>45</v>
      </c>
      <c r="G463" s="11" t="s">
        <v>14</v>
      </c>
      <c r="H463" s="11">
        <v>35</v>
      </c>
      <c r="I463" s="11">
        <v>225</v>
      </c>
      <c r="J463" s="11">
        <v>7875</v>
      </c>
      <c r="K463" s="11">
        <v>3150</v>
      </c>
      <c r="L463" s="11">
        <v>0.4</v>
      </c>
      <c r="M463" s="12" t="s">
        <v>46</v>
      </c>
    </row>
    <row r="464" spans="1:13">
      <c r="A464" s="5" t="s">
        <v>18</v>
      </c>
      <c r="B464" s="6">
        <v>1001</v>
      </c>
      <c r="C464" s="7">
        <v>44521</v>
      </c>
      <c r="D464" s="6" t="s">
        <v>3</v>
      </c>
      <c r="E464" s="7" t="s">
        <v>110</v>
      </c>
      <c r="F464" s="7" t="s">
        <v>111</v>
      </c>
      <c r="G464" s="7" t="s">
        <v>14</v>
      </c>
      <c r="H464" s="7">
        <v>50</v>
      </c>
      <c r="I464" s="7">
        <v>170</v>
      </c>
      <c r="J464" s="7">
        <v>8500</v>
      </c>
      <c r="K464" s="7">
        <v>2975</v>
      </c>
      <c r="L464" s="7">
        <v>0.35</v>
      </c>
      <c r="M464" s="8" t="s">
        <v>74</v>
      </c>
    </row>
    <row r="465" spans="1:13">
      <c r="A465" s="9" t="s">
        <v>20</v>
      </c>
      <c r="B465" s="10">
        <v>1003</v>
      </c>
      <c r="C465" s="11">
        <v>44242</v>
      </c>
      <c r="D465" s="10" t="s">
        <v>3</v>
      </c>
      <c r="E465" s="11" t="s">
        <v>100</v>
      </c>
      <c r="F465" s="11" t="s">
        <v>101</v>
      </c>
      <c r="G465" s="11" t="s">
        <v>13</v>
      </c>
      <c r="H465" s="11">
        <v>27</v>
      </c>
      <c r="I465" s="11">
        <v>75</v>
      </c>
      <c r="J465" s="11">
        <v>2025</v>
      </c>
      <c r="K465" s="11">
        <v>648</v>
      </c>
      <c r="L465" s="11">
        <v>0.32</v>
      </c>
      <c r="M465" s="12" t="s">
        <v>43</v>
      </c>
    </row>
    <row r="466" spans="1:13">
      <c r="A466" s="5" t="s">
        <v>20</v>
      </c>
      <c r="B466" s="6">
        <v>1003</v>
      </c>
      <c r="C466" s="7">
        <v>44481</v>
      </c>
      <c r="D466" s="6" t="s">
        <v>2</v>
      </c>
      <c r="E466" s="7" t="s">
        <v>51</v>
      </c>
      <c r="F466" s="7" t="s">
        <v>52</v>
      </c>
      <c r="G466" s="7" t="s">
        <v>12</v>
      </c>
      <c r="H466" s="7">
        <v>60</v>
      </c>
      <c r="I466" s="7">
        <v>250</v>
      </c>
      <c r="J466" s="7">
        <v>15000</v>
      </c>
      <c r="K466" s="7">
        <v>6000</v>
      </c>
      <c r="L466" s="7">
        <v>0.4</v>
      </c>
      <c r="M466" s="8" t="s">
        <v>46</v>
      </c>
    </row>
    <row r="467" spans="1:13">
      <c r="A467" s="9" t="s">
        <v>18</v>
      </c>
      <c r="B467" s="10">
        <v>1001</v>
      </c>
      <c r="C467" s="11">
        <v>44522</v>
      </c>
      <c r="D467" s="10" t="s">
        <v>5</v>
      </c>
      <c r="E467" s="11" t="s">
        <v>44</v>
      </c>
      <c r="F467" s="11" t="s">
        <v>45</v>
      </c>
      <c r="G467" s="11" t="s">
        <v>12</v>
      </c>
      <c r="H467" s="11">
        <v>66</v>
      </c>
      <c r="I467" s="11">
        <v>80</v>
      </c>
      <c r="J467" s="11">
        <v>5280</v>
      </c>
      <c r="K467" s="11">
        <v>2851.2</v>
      </c>
      <c r="L467" s="11">
        <v>0.54</v>
      </c>
      <c r="M467" s="12" t="s">
        <v>46</v>
      </c>
    </row>
    <row r="468" spans="1:13">
      <c r="A468" s="5" t="s">
        <v>22</v>
      </c>
      <c r="B468" s="6">
        <v>1004</v>
      </c>
      <c r="C468" s="7">
        <v>44310</v>
      </c>
      <c r="D468" s="6" t="s">
        <v>6</v>
      </c>
      <c r="E468" s="7" t="s">
        <v>93</v>
      </c>
      <c r="F468" s="7" t="s">
        <v>94</v>
      </c>
      <c r="G468" s="7" t="s">
        <v>13</v>
      </c>
      <c r="H468" s="7">
        <v>41</v>
      </c>
      <c r="I468" s="7">
        <v>63</v>
      </c>
      <c r="J468" s="7">
        <v>2583</v>
      </c>
      <c r="K468" s="7">
        <v>1291.5</v>
      </c>
      <c r="L468" s="7">
        <v>0.5</v>
      </c>
      <c r="M468" s="8" t="s">
        <v>46</v>
      </c>
    </row>
    <row r="469" spans="1:13">
      <c r="A469" s="9" t="s">
        <v>20</v>
      </c>
      <c r="B469" s="10">
        <v>1003</v>
      </c>
      <c r="C469" s="11">
        <v>44448</v>
      </c>
      <c r="D469" s="10" t="s">
        <v>4</v>
      </c>
      <c r="E469" s="11" t="s">
        <v>61</v>
      </c>
      <c r="F469" s="11" t="s">
        <v>62</v>
      </c>
      <c r="G469" s="11" t="s">
        <v>13</v>
      </c>
      <c r="H469" s="11">
        <v>45</v>
      </c>
      <c r="I469" s="11">
        <v>575</v>
      </c>
      <c r="J469" s="11">
        <v>25875</v>
      </c>
      <c r="K469" s="11">
        <v>15525</v>
      </c>
      <c r="L469" s="11">
        <v>0.60000000000000009</v>
      </c>
      <c r="M469" s="12" t="s">
        <v>43</v>
      </c>
    </row>
    <row r="470" spans="1:13">
      <c r="A470" s="5" t="s">
        <v>18</v>
      </c>
      <c r="B470" s="6">
        <v>1001</v>
      </c>
      <c r="C470" s="7">
        <v>44513</v>
      </c>
      <c r="D470" s="6" t="s">
        <v>2</v>
      </c>
      <c r="E470" s="7" t="s">
        <v>66</v>
      </c>
      <c r="F470" s="7" t="s">
        <v>67</v>
      </c>
      <c r="G470" s="7" t="s">
        <v>12</v>
      </c>
      <c r="H470" s="7">
        <v>75</v>
      </c>
      <c r="I470" s="7">
        <v>350</v>
      </c>
      <c r="J470" s="7">
        <v>26250</v>
      </c>
      <c r="K470" s="7">
        <v>9187.5</v>
      </c>
      <c r="L470" s="7">
        <v>0.35</v>
      </c>
      <c r="M470" s="8" t="s">
        <v>46</v>
      </c>
    </row>
    <row r="471" spans="1:13">
      <c r="A471" s="9" t="s">
        <v>18</v>
      </c>
      <c r="B471" s="10">
        <v>1001</v>
      </c>
      <c r="C471" s="11">
        <v>44176</v>
      </c>
      <c r="D471" s="10" t="s">
        <v>2</v>
      </c>
      <c r="E471" s="11" t="s">
        <v>96</v>
      </c>
      <c r="F471" s="11" t="s">
        <v>97</v>
      </c>
      <c r="G471" s="11" t="s">
        <v>10</v>
      </c>
      <c r="H471" s="11">
        <v>35</v>
      </c>
      <c r="I471" s="11">
        <v>200</v>
      </c>
      <c r="J471" s="11">
        <v>7000</v>
      </c>
      <c r="K471" s="11">
        <v>2100</v>
      </c>
      <c r="L471" s="11">
        <v>0.3</v>
      </c>
      <c r="M471" s="12" t="s">
        <v>43</v>
      </c>
    </row>
    <row r="472" spans="1:13">
      <c r="A472" s="5" t="s">
        <v>19</v>
      </c>
      <c r="B472" s="6">
        <v>1005</v>
      </c>
      <c r="C472" s="7">
        <v>44445</v>
      </c>
      <c r="D472" s="6" t="s">
        <v>3</v>
      </c>
      <c r="E472" s="7" t="s">
        <v>85</v>
      </c>
      <c r="F472" s="7" t="s">
        <v>86</v>
      </c>
      <c r="G472" s="7" t="s">
        <v>14</v>
      </c>
      <c r="H472" s="7">
        <v>39</v>
      </c>
      <c r="I472" s="7">
        <v>51</v>
      </c>
      <c r="J472" s="7">
        <v>1989</v>
      </c>
      <c r="K472" s="7">
        <v>1054.17</v>
      </c>
      <c r="L472" s="7">
        <v>0.53</v>
      </c>
      <c r="M472" s="8" t="s">
        <v>46</v>
      </c>
    </row>
    <row r="473" spans="1:13">
      <c r="A473" s="9" t="s">
        <v>18</v>
      </c>
      <c r="B473" s="10">
        <v>1001</v>
      </c>
      <c r="C473" s="11">
        <v>44220</v>
      </c>
      <c r="D473" s="10" t="s">
        <v>3</v>
      </c>
      <c r="E473" s="11" t="s">
        <v>98</v>
      </c>
      <c r="F473" s="11" t="s">
        <v>99</v>
      </c>
      <c r="G473" s="11" t="s">
        <v>9</v>
      </c>
      <c r="H473" s="11">
        <v>60</v>
      </c>
      <c r="I473" s="11">
        <v>54</v>
      </c>
      <c r="J473" s="11">
        <v>3240</v>
      </c>
      <c r="K473" s="11">
        <v>1198.8</v>
      </c>
      <c r="L473" s="11">
        <v>0.37</v>
      </c>
      <c r="M473" s="12" t="s">
        <v>46</v>
      </c>
    </row>
    <row r="474" spans="1:13">
      <c r="A474" s="5" t="s">
        <v>20</v>
      </c>
      <c r="B474" s="6">
        <v>1003</v>
      </c>
      <c r="C474" s="7">
        <v>44309</v>
      </c>
      <c r="D474" s="6" t="s">
        <v>4</v>
      </c>
      <c r="E474" s="7" t="s">
        <v>104</v>
      </c>
      <c r="F474" s="7" t="s">
        <v>105</v>
      </c>
      <c r="G474" s="7" t="s">
        <v>14</v>
      </c>
      <c r="H474" s="7">
        <v>39</v>
      </c>
      <c r="I474" s="7">
        <v>314</v>
      </c>
      <c r="J474" s="7">
        <v>12246</v>
      </c>
      <c r="K474" s="7">
        <v>5755.62</v>
      </c>
      <c r="L474" s="7">
        <v>0.47</v>
      </c>
      <c r="M474" s="8" t="s">
        <v>43</v>
      </c>
    </row>
    <row r="475" spans="1:13">
      <c r="A475" s="9" t="s">
        <v>18</v>
      </c>
      <c r="B475" s="10">
        <v>1001</v>
      </c>
      <c r="C475" s="11">
        <v>44233</v>
      </c>
      <c r="D475" s="10" t="s">
        <v>2</v>
      </c>
      <c r="E475" s="11" t="s">
        <v>68</v>
      </c>
      <c r="F475" s="11" t="s">
        <v>69</v>
      </c>
      <c r="G475" s="11" t="s">
        <v>14</v>
      </c>
      <c r="H475" s="11">
        <v>20</v>
      </c>
      <c r="I475" s="11">
        <v>200</v>
      </c>
      <c r="J475" s="11">
        <v>4000</v>
      </c>
      <c r="K475" s="11">
        <v>1200</v>
      </c>
      <c r="L475" s="11">
        <v>0.3</v>
      </c>
      <c r="M475" s="12" t="s">
        <v>74</v>
      </c>
    </row>
    <row r="476" spans="1:13">
      <c r="A476" s="5" t="s">
        <v>19</v>
      </c>
      <c r="B476" s="6">
        <v>1005</v>
      </c>
      <c r="C476" s="7">
        <v>44402</v>
      </c>
      <c r="D476" s="6" t="s">
        <v>6</v>
      </c>
      <c r="E476" s="7" t="s">
        <v>83</v>
      </c>
      <c r="F476" s="7" t="s">
        <v>84</v>
      </c>
      <c r="G476" s="7" t="s">
        <v>12</v>
      </c>
      <c r="H476" s="7">
        <v>49</v>
      </c>
      <c r="I476" s="7">
        <v>160</v>
      </c>
      <c r="J476" s="7">
        <v>7840</v>
      </c>
      <c r="K476" s="7">
        <v>2508.8000000000002</v>
      </c>
      <c r="L476" s="7">
        <v>0.32</v>
      </c>
      <c r="M476" s="8" t="s">
        <v>43</v>
      </c>
    </row>
    <row r="477" spans="1:13">
      <c r="A477" s="9" t="s">
        <v>20</v>
      </c>
      <c r="B477" s="10">
        <v>1003</v>
      </c>
      <c r="C477" s="11">
        <v>44412</v>
      </c>
      <c r="D477" s="10" t="s">
        <v>3</v>
      </c>
      <c r="E477" s="11" t="s">
        <v>131</v>
      </c>
      <c r="F477" s="11" t="s">
        <v>132</v>
      </c>
      <c r="G477" s="11" t="s">
        <v>13</v>
      </c>
      <c r="H477" s="11">
        <v>41</v>
      </c>
      <c r="I477" s="11">
        <v>68</v>
      </c>
      <c r="J477" s="11">
        <v>2788</v>
      </c>
      <c r="K477" s="11">
        <v>1143.08</v>
      </c>
      <c r="L477" s="11">
        <v>0.41</v>
      </c>
      <c r="M477" s="12" t="s">
        <v>46</v>
      </c>
    </row>
    <row r="478" spans="1:13">
      <c r="A478" s="5" t="s">
        <v>20</v>
      </c>
      <c r="B478" s="6">
        <v>1003</v>
      </c>
      <c r="C478" s="7">
        <v>44474</v>
      </c>
      <c r="D478" s="6" t="s">
        <v>3</v>
      </c>
      <c r="E478" s="7" t="s">
        <v>131</v>
      </c>
      <c r="F478" s="7" t="s">
        <v>132</v>
      </c>
      <c r="G478" s="7" t="s">
        <v>13</v>
      </c>
      <c r="H478" s="7">
        <v>50</v>
      </c>
      <c r="I478" s="7">
        <v>38</v>
      </c>
      <c r="J478" s="7">
        <v>1900</v>
      </c>
      <c r="K478" s="7">
        <v>760</v>
      </c>
      <c r="L478" s="7">
        <v>0.4</v>
      </c>
      <c r="M478" s="8" t="s">
        <v>46</v>
      </c>
    </row>
    <row r="479" spans="1:13">
      <c r="A479" s="9" t="s">
        <v>17</v>
      </c>
      <c r="B479" s="10">
        <v>1006</v>
      </c>
      <c r="C479" s="11">
        <v>44209</v>
      </c>
      <c r="D479" s="10" t="s">
        <v>5</v>
      </c>
      <c r="E479" s="11" t="s">
        <v>89</v>
      </c>
      <c r="F479" s="11" t="s">
        <v>90</v>
      </c>
      <c r="G479" s="11" t="s">
        <v>9</v>
      </c>
      <c r="H479" s="11">
        <v>45</v>
      </c>
      <c r="I479" s="11">
        <v>475</v>
      </c>
      <c r="J479" s="11">
        <v>21375</v>
      </c>
      <c r="K479" s="11">
        <v>7481.25</v>
      </c>
      <c r="L479" s="11">
        <v>0.35</v>
      </c>
      <c r="M479" s="12" t="s">
        <v>46</v>
      </c>
    </row>
    <row r="480" spans="1:13">
      <c r="A480" s="5" t="s">
        <v>21</v>
      </c>
      <c r="B480" s="6">
        <v>1002</v>
      </c>
      <c r="C480" s="7">
        <v>44457</v>
      </c>
      <c r="D480" s="6" t="s">
        <v>5</v>
      </c>
      <c r="E480" s="7" t="s">
        <v>47</v>
      </c>
      <c r="F480" s="7" t="s">
        <v>48</v>
      </c>
      <c r="G480" s="7" t="s">
        <v>11</v>
      </c>
      <c r="H480" s="7">
        <v>44</v>
      </c>
      <c r="I480" s="7">
        <v>155</v>
      </c>
      <c r="J480" s="7">
        <v>6820</v>
      </c>
      <c r="K480" s="7">
        <v>2523.4</v>
      </c>
      <c r="L480" s="7">
        <v>0.37</v>
      </c>
      <c r="M480" s="8" t="s">
        <v>43</v>
      </c>
    </row>
    <row r="481" spans="1:13">
      <c r="A481" s="9" t="s">
        <v>22</v>
      </c>
      <c r="B481" s="10">
        <v>1004</v>
      </c>
      <c r="C481" s="11">
        <v>44296</v>
      </c>
      <c r="D481" s="10" t="s">
        <v>2</v>
      </c>
      <c r="E481" s="11" t="s">
        <v>102</v>
      </c>
      <c r="F481" s="11" t="s">
        <v>103</v>
      </c>
      <c r="G481" s="11" t="s">
        <v>13</v>
      </c>
      <c r="H481" s="11">
        <v>20</v>
      </c>
      <c r="I481" s="11">
        <v>125</v>
      </c>
      <c r="J481" s="11">
        <v>2500</v>
      </c>
      <c r="K481" s="11">
        <v>875</v>
      </c>
      <c r="L481" s="11">
        <v>0.35</v>
      </c>
      <c r="M481" s="12" t="s">
        <v>74</v>
      </c>
    </row>
    <row r="482" spans="1:13">
      <c r="A482" s="5" t="s">
        <v>19</v>
      </c>
      <c r="B482" s="6">
        <v>1005</v>
      </c>
      <c r="C482" s="7">
        <v>44343</v>
      </c>
      <c r="D482" s="6" t="s">
        <v>6</v>
      </c>
      <c r="E482" s="7" t="s">
        <v>83</v>
      </c>
      <c r="F482" s="7" t="s">
        <v>84</v>
      </c>
      <c r="G482" s="7" t="s">
        <v>11</v>
      </c>
      <c r="H482" s="7">
        <v>43</v>
      </c>
      <c r="I482" s="7">
        <v>184</v>
      </c>
      <c r="J482" s="7">
        <v>7912</v>
      </c>
      <c r="K482" s="7">
        <v>3243.92</v>
      </c>
      <c r="L482" s="7">
        <v>0.41</v>
      </c>
      <c r="M482" s="8" t="s">
        <v>43</v>
      </c>
    </row>
    <row r="483" spans="1:13">
      <c r="A483" s="9" t="s">
        <v>22</v>
      </c>
      <c r="B483" s="10">
        <v>1004</v>
      </c>
      <c r="C483" s="11">
        <v>44291</v>
      </c>
      <c r="D483" s="10" t="s">
        <v>6</v>
      </c>
      <c r="E483" s="11" t="s">
        <v>120</v>
      </c>
      <c r="F483" s="11" t="s">
        <v>121</v>
      </c>
      <c r="G483" s="11" t="s">
        <v>12</v>
      </c>
      <c r="H483" s="11">
        <v>23</v>
      </c>
      <c r="I483" s="11">
        <v>176</v>
      </c>
      <c r="J483" s="11">
        <v>4048</v>
      </c>
      <c r="K483" s="11">
        <v>2307.36</v>
      </c>
      <c r="L483" s="11">
        <v>0.57000000000000006</v>
      </c>
      <c r="M483" s="12" t="s">
        <v>43</v>
      </c>
    </row>
    <row r="484" spans="1:13">
      <c r="A484" s="5" t="s">
        <v>22</v>
      </c>
      <c r="B484" s="6">
        <v>1004</v>
      </c>
      <c r="C484" s="7">
        <v>44143</v>
      </c>
      <c r="D484" s="6" t="s">
        <v>6</v>
      </c>
      <c r="E484" s="7" t="s">
        <v>125</v>
      </c>
      <c r="F484" s="7" t="s">
        <v>126</v>
      </c>
      <c r="G484" s="7" t="s">
        <v>10</v>
      </c>
      <c r="H484" s="7">
        <v>36</v>
      </c>
      <c r="I484" s="7">
        <v>239</v>
      </c>
      <c r="J484" s="7">
        <v>8604</v>
      </c>
      <c r="K484" s="7">
        <v>2151</v>
      </c>
      <c r="L484" s="7">
        <v>0.25</v>
      </c>
      <c r="M484" s="8" t="s">
        <v>43</v>
      </c>
    </row>
    <row r="485" spans="1:13">
      <c r="A485" s="9" t="s">
        <v>18</v>
      </c>
      <c r="B485" s="10">
        <v>1001</v>
      </c>
      <c r="C485" s="11">
        <v>44362</v>
      </c>
      <c r="D485" s="10" t="s">
        <v>3</v>
      </c>
      <c r="E485" s="11" t="s">
        <v>129</v>
      </c>
      <c r="F485" s="11" t="s">
        <v>130</v>
      </c>
      <c r="G485" s="11" t="s">
        <v>14</v>
      </c>
      <c r="H485" s="11">
        <v>45</v>
      </c>
      <c r="I485" s="11">
        <v>325</v>
      </c>
      <c r="J485" s="11">
        <v>14625</v>
      </c>
      <c r="K485" s="11">
        <v>5850</v>
      </c>
      <c r="L485" s="11">
        <v>0.4</v>
      </c>
      <c r="M485" s="12" t="s">
        <v>74</v>
      </c>
    </row>
    <row r="486" spans="1:13">
      <c r="A486" s="5" t="s">
        <v>22</v>
      </c>
      <c r="B486" s="6">
        <v>1004</v>
      </c>
      <c r="C486" s="7">
        <v>44199</v>
      </c>
      <c r="D486" s="6" t="s">
        <v>2</v>
      </c>
      <c r="E486" s="7" t="s">
        <v>138</v>
      </c>
      <c r="F486" s="7" t="s">
        <v>139</v>
      </c>
      <c r="G486" s="7" t="s">
        <v>14</v>
      </c>
      <c r="H486" s="7">
        <v>20</v>
      </c>
      <c r="I486" s="7">
        <v>250</v>
      </c>
      <c r="J486" s="7">
        <v>5000</v>
      </c>
      <c r="K486" s="7">
        <v>1500</v>
      </c>
      <c r="L486" s="7">
        <v>0.3</v>
      </c>
      <c r="M486" s="8" t="s">
        <v>74</v>
      </c>
    </row>
    <row r="487" spans="1:13">
      <c r="A487" s="9" t="s">
        <v>19</v>
      </c>
      <c r="B487" s="10">
        <v>1005</v>
      </c>
      <c r="C487" s="11">
        <v>44296</v>
      </c>
      <c r="D487" s="10" t="s">
        <v>6</v>
      </c>
      <c r="E487" s="11" t="s">
        <v>125</v>
      </c>
      <c r="F487" s="11" t="s">
        <v>133</v>
      </c>
      <c r="G487" s="11" t="s">
        <v>13</v>
      </c>
      <c r="H487" s="11">
        <v>43</v>
      </c>
      <c r="I487" s="11">
        <v>152</v>
      </c>
      <c r="J487" s="11">
        <v>6536</v>
      </c>
      <c r="K487" s="11">
        <v>3202.64</v>
      </c>
      <c r="L487" s="11">
        <v>0.49</v>
      </c>
      <c r="M487" s="12" t="s">
        <v>46</v>
      </c>
    </row>
    <row r="488" spans="1:13">
      <c r="A488" s="5" t="s">
        <v>17</v>
      </c>
      <c r="B488" s="6">
        <v>1006</v>
      </c>
      <c r="C488" s="7">
        <v>44387</v>
      </c>
      <c r="D488" s="6" t="s">
        <v>3</v>
      </c>
      <c r="E488" s="7" t="s">
        <v>49</v>
      </c>
      <c r="F488" s="7" t="s">
        <v>50</v>
      </c>
      <c r="G488" s="7" t="s">
        <v>12</v>
      </c>
      <c r="H488" s="7">
        <v>49</v>
      </c>
      <c r="I488" s="7">
        <v>175</v>
      </c>
      <c r="J488" s="7">
        <v>8575</v>
      </c>
      <c r="K488" s="7">
        <v>4030.25</v>
      </c>
      <c r="L488" s="7">
        <v>0.47</v>
      </c>
      <c r="M488" s="8" t="s">
        <v>43</v>
      </c>
    </row>
    <row r="489" spans="1:13">
      <c r="A489" s="9" t="s">
        <v>18</v>
      </c>
      <c r="B489" s="10">
        <v>1001</v>
      </c>
      <c r="C489" s="11">
        <v>44303</v>
      </c>
      <c r="D489" s="10" t="s">
        <v>4</v>
      </c>
      <c r="E489" s="11" t="s">
        <v>116</v>
      </c>
      <c r="F489" s="11" t="s">
        <v>117</v>
      </c>
      <c r="G489" s="11" t="s">
        <v>12</v>
      </c>
      <c r="H489" s="11">
        <v>28</v>
      </c>
      <c r="I489" s="11">
        <v>124</v>
      </c>
      <c r="J489" s="11">
        <v>3472</v>
      </c>
      <c r="K489" s="11">
        <v>2117.92</v>
      </c>
      <c r="L489" s="11">
        <v>0.61</v>
      </c>
      <c r="M489" s="12" t="s">
        <v>46</v>
      </c>
    </row>
    <row r="490" spans="1:13">
      <c r="A490" s="5" t="s">
        <v>19</v>
      </c>
      <c r="B490" s="6">
        <v>1005</v>
      </c>
      <c r="C490" s="7">
        <v>44355</v>
      </c>
      <c r="D490" s="6" t="s">
        <v>3</v>
      </c>
      <c r="E490" s="7" t="s">
        <v>85</v>
      </c>
      <c r="F490" s="7" t="s">
        <v>86</v>
      </c>
      <c r="G490" s="7" t="s">
        <v>11</v>
      </c>
      <c r="H490" s="7">
        <v>45</v>
      </c>
      <c r="I490" s="7">
        <v>156</v>
      </c>
      <c r="J490" s="7">
        <v>7020</v>
      </c>
      <c r="K490" s="7">
        <v>3229.2</v>
      </c>
      <c r="L490" s="7">
        <v>0.46</v>
      </c>
      <c r="M490" s="8" t="s">
        <v>46</v>
      </c>
    </row>
    <row r="491" spans="1:13">
      <c r="A491" s="9" t="s">
        <v>20</v>
      </c>
      <c r="B491" s="10">
        <v>1003</v>
      </c>
      <c r="C491" s="11">
        <v>44330</v>
      </c>
      <c r="D491" s="10" t="s">
        <v>5</v>
      </c>
      <c r="E491" s="11" t="s">
        <v>57</v>
      </c>
      <c r="F491" s="11" t="s">
        <v>58</v>
      </c>
      <c r="G491" s="11" t="s">
        <v>10</v>
      </c>
      <c r="H491" s="11">
        <v>36</v>
      </c>
      <c r="I491" s="11">
        <v>136</v>
      </c>
      <c r="J491" s="11">
        <v>4896</v>
      </c>
      <c r="K491" s="11">
        <v>2203.1999999999998</v>
      </c>
      <c r="L491" s="11">
        <v>0.45</v>
      </c>
      <c r="M491" s="12" t="s">
        <v>43</v>
      </c>
    </row>
    <row r="492" spans="1:13">
      <c r="A492" s="5" t="s">
        <v>22</v>
      </c>
      <c r="B492" s="6">
        <v>1004</v>
      </c>
      <c r="C492" s="7">
        <v>43888</v>
      </c>
      <c r="D492" s="6" t="s">
        <v>6</v>
      </c>
      <c r="E492" s="7" t="s">
        <v>87</v>
      </c>
      <c r="F492" s="7" t="s">
        <v>88</v>
      </c>
      <c r="G492" s="7" t="s">
        <v>14</v>
      </c>
      <c r="H492" s="7">
        <v>60</v>
      </c>
      <c r="I492" s="7">
        <v>375</v>
      </c>
      <c r="J492" s="7">
        <v>22500</v>
      </c>
      <c r="K492" s="7">
        <v>7875</v>
      </c>
      <c r="L492" s="7">
        <v>0.35</v>
      </c>
      <c r="M492" s="8" t="s">
        <v>74</v>
      </c>
    </row>
    <row r="493" spans="1:13">
      <c r="A493" s="9" t="s">
        <v>19</v>
      </c>
      <c r="B493" s="10">
        <v>1005</v>
      </c>
      <c r="C493" s="11">
        <v>44327</v>
      </c>
      <c r="D493" s="10" t="s">
        <v>6</v>
      </c>
      <c r="E493" s="11" t="s">
        <v>125</v>
      </c>
      <c r="F493" s="11" t="s">
        <v>133</v>
      </c>
      <c r="G493" s="11" t="s">
        <v>9</v>
      </c>
      <c r="H493" s="11">
        <v>58</v>
      </c>
      <c r="I493" s="11">
        <v>163</v>
      </c>
      <c r="J493" s="11">
        <v>9454</v>
      </c>
      <c r="K493" s="11">
        <v>6334.18</v>
      </c>
      <c r="L493" s="11">
        <v>0.67</v>
      </c>
      <c r="M493" s="12" t="s">
        <v>46</v>
      </c>
    </row>
    <row r="494" spans="1:13">
      <c r="A494" s="5" t="s">
        <v>22</v>
      </c>
      <c r="B494" s="6">
        <v>1004</v>
      </c>
      <c r="C494" s="7">
        <v>44238</v>
      </c>
      <c r="D494" s="6" t="s">
        <v>2</v>
      </c>
      <c r="E494" s="7" t="s">
        <v>91</v>
      </c>
      <c r="F494" s="7" t="s">
        <v>92</v>
      </c>
      <c r="G494" s="7" t="s">
        <v>10</v>
      </c>
      <c r="H494" s="7">
        <v>24</v>
      </c>
      <c r="I494" s="7">
        <v>101</v>
      </c>
      <c r="J494" s="7">
        <v>2424</v>
      </c>
      <c r="K494" s="7">
        <v>1139.28</v>
      </c>
      <c r="L494" s="7">
        <v>0.47</v>
      </c>
      <c r="M494" s="8" t="s">
        <v>46</v>
      </c>
    </row>
    <row r="495" spans="1:13">
      <c r="A495" s="9" t="s">
        <v>22</v>
      </c>
      <c r="B495" s="10">
        <v>1004</v>
      </c>
      <c r="C495" s="11">
        <v>44486</v>
      </c>
      <c r="D495" s="10" t="s">
        <v>3</v>
      </c>
      <c r="E495" s="11" t="s">
        <v>112</v>
      </c>
      <c r="F495" s="11" t="s">
        <v>113</v>
      </c>
      <c r="G495" s="11" t="s">
        <v>11</v>
      </c>
      <c r="H495" s="11">
        <v>41</v>
      </c>
      <c r="I495" s="11">
        <v>115</v>
      </c>
      <c r="J495" s="11">
        <v>4715</v>
      </c>
      <c r="K495" s="11">
        <v>2546.1</v>
      </c>
      <c r="L495" s="11">
        <v>0.54</v>
      </c>
      <c r="M495" s="12" t="s">
        <v>46</v>
      </c>
    </row>
    <row r="496" spans="1:13">
      <c r="A496" s="5" t="s">
        <v>17</v>
      </c>
      <c r="B496" s="6">
        <v>1006</v>
      </c>
      <c r="C496" s="7">
        <v>44218</v>
      </c>
      <c r="D496" s="6" t="s">
        <v>2</v>
      </c>
      <c r="E496" s="7" t="s">
        <v>123</v>
      </c>
      <c r="F496" s="7" t="s">
        <v>124</v>
      </c>
      <c r="G496" s="7" t="s">
        <v>11</v>
      </c>
      <c r="H496" s="7">
        <v>37</v>
      </c>
      <c r="I496" s="7">
        <v>135</v>
      </c>
      <c r="J496" s="7">
        <v>4995</v>
      </c>
      <c r="K496" s="7">
        <v>2697.3</v>
      </c>
      <c r="L496" s="7">
        <v>0.54</v>
      </c>
      <c r="M496" s="8" t="s">
        <v>46</v>
      </c>
    </row>
    <row r="497" spans="1:13">
      <c r="A497" s="9" t="s">
        <v>19</v>
      </c>
      <c r="B497" s="10">
        <v>1005</v>
      </c>
      <c r="C497" s="11">
        <v>44211</v>
      </c>
      <c r="D497" s="10" t="s">
        <v>2</v>
      </c>
      <c r="E497" s="11" t="s">
        <v>136</v>
      </c>
      <c r="F497" s="11" t="s">
        <v>137</v>
      </c>
      <c r="G497" s="11" t="s">
        <v>11</v>
      </c>
      <c r="H497" s="11">
        <v>44</v>
      </c>
      <c r="I497" s="11">
        <v>161</v>
      </c>
      <c r="J497" s="11">
        <v>7084</v>
      </c>
      <c r="K497" s="11">
        <v>4179.5600000000004</v>
      </c>
      <c r="L497" s="11">
        <v>0.59000000000000008</v>
      </c>
      <c r="M497" s="12" t="s">
        <v>46</v>
      </c>
    </row>
    <row r="498" spans="1:13">
      <c r="A498" s="5" t="s">
        <v>20</v>
      </c>
      <c r="B498" s="6">
        <v>1003</v>
      </c>
      <c r="C498" s="7">
        <v>44240</v>
      </c>
      <c r="D498" s="6" t="s">
        <v>6</v>
      </c>
      <c r="E498" s="7" t="s">
        <v>83</v>
      </c>
      <c r="F498" s="7" t="s">
        <v>84</v>
      </c>
      <c r="G498" s="7" t="s">
        <v>10</v>
      </c>
      <c r="H498" s="7">
        <v>37</v>
      </c>
      <c r="I498" s="7">
        <v>112</v>
      </c>
      <c r="J498" s="7">
        <v>4144</v>
      </c>
      <c r="K498" s="7">
        <v>2279.1999999999998</v>
      </c>
      <c r="L498" s="7">
        <v>0.55000000000000004</v>
      </c>
      <c r="M498" s="8" t="s">
        <v>46</v>
      </c>
    </row>
    <row r="499" spans="1:13">
      <c r="A499" s="9" t="s">
        <v>20</v>
      </c>
      <c r="B499" s="10">
        <v>1003</v>
      </c>
      <c r="C499" s="11">
        <v>44290</v>
      </c>
      <c r="D499" s="10" t="s">
        <v>3</v>
      </c>
      <c r="E499" s="11" t="s">
        <v>131</v>
      </c>
      <c r="F499" s="11" t="s">
        <v>132</v>
      </c>
      <c r="G499" s="11" t="s">
        <v>9</v>
      </c>
      <c r="H499" s="11">
        <v>46</v>
      </c>
      <c r="I499" s="11">
        <v>35</v>
      </c>
      <c r="J499" s="11">
        <v>1610</v>
      </c>
      <c r="K499" s="11">
        <v>724.5</v>
      </c>
      <c r="L499" s="11">
        <v>0.45</v>
      </c>
      <c r="M499" s="12" t="s">
        <v>46</v>
      </c>
    </row>
    <row r="500" spans="1:13">
      <c r="A500" s="5" t="s">
        <v>22</v>
      </c>
      <c r="B500" s="6">
        <v>1004</v>
      </c>
      <c r="C500" s="7">
        <v>44303</v>
      </c>
      <c r="D500" s="6" t="s">
        <v>4</v>
      </c>
      <c r="E500" s="7" t="s">
        <v>53</v>
      </c>
      <c r="F500" s="7" t="s">
        <v>54</v>
      </c>
      <c r="G500" s="7" t="s">
        <v>13</v>
      </c>
      <c r="H500" s="7">
        <v>39</v>
      </c>
      <c r="I500" s="7">
        <v>74</v>
      </c>
      <c r="J500" s="7">
        <v>2886</v>
      </c>
      <c r="K500" s="7">
        <v>1529.58</v>
      </c>
      <c r="L500" s="7">
        <v>0.53</v>
      </c>
      <c r="M500" s="8" t="s">
        <v>46</v>
      </c>
    </row>
    <row r="501" spans="1:13">
      <c r="A501" s="13" t="s">
        <v>22</v>
      </c>
      <c r="B501" s="14">
        <v>1004</v>
      </c>
      <c r="C501" s="15">
        <v>44248</v>
      </c>
      <c r="D501" s="14" t="s">
        <v>4</v>
      </c>
      <c r="E501" s="15" t="s">
        <v>79</v>
      </c>
      <c r="F501" s="15" t="s">
        <v>80</v>
      </c>
      <c r="G501" s="15" t="s">
        <v>11</v>
      </c>
      <c r="H501" s="15">
        <v>25</v>
      </c>
      <c r="I501" s="15">
        <v>625</v>
      </c>
      <c r="J501" s="15">
        <v>15625</v>
      </c>
      <c r="K501" s="15">
        <v>6250</v>
      </c>
      <c r="L501" s="15">
        <v>0.4</v>
      </c>
      <c r="M501" s="16" t="s">
        <v>46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2026-05-21T09:56:05Z</dcterms:created>
  <dcterms:modified xsi:type="dcterms:W3CDTF">2026-05-22T13:25:28Z</dcterms:modified>
  <cp:category/>
  <cp:contentStatus/>
</cp:coreProperties>
</file>